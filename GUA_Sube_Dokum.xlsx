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Detaylı Döküm" sheetId="2" state="visible" r:id="rId2"/>
    <sheet xmlns:r="http://schemas.openxmlformats.org/officeDocument/2006/relationships" name="Mağusa Şube" sheetId="3" state="visible" r:id="rId3"/>
    <sheet xmlns:r="http://schemas.openxmlformats.org/officeDocument/2006/relationships" name="Intech Salamis Kiosk" sheetId="4" state="visible" r:id="rId4"/>
    <sheet xmlns:r="http://schemas.openxmlformats.org/officeDocument/2006/relationships" name="Şubesiz (Bekleyen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4">
    <font>
      <name val="Aptos Narrow"/>
      <charset val="162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166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  <xf numFmtId="166" fontId="1" fillId="0" borderId="1" pivotButton="0" quotePrefix="0" xfId="0"/>
    <xf numFmtId="0" fontId="1" fillId="0" borderId="0" pivotButton="0" quotePrefix="0" xfId="0"/>
    <xf numFmtId="4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5" fontId="1" fillId="5" borderId="0" pivotButton="0" quotePrefix="0" xfId="0"/>
    <xf numFmtId="0" fontId="1" fillId="5" borderId="0" pivotButton="0" quotePrefix="0" xfId="0"/>
    <xf numFmtId="4" fontId="1" fillId="5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GUA COFFEE COMPANY TRADING LTD (AL000151) – Şube Özeti</t>
        </is>
      </c>
    </row>
    <row r="3">
      <c r="A3" s="4" t="inlineStr">
        <is>
          <t>Şube</t>
        </is>
      </c>
      <c r="B3" s="4" t="inlineStr">
        <is>
          <t>Fatura Adedi</t>
        </is>
      </c>
      <c r="C3" s="4" t="inlineStr">
        <is>
          <t>Fatura Tutarı</t>
        </is>
      </c>
      <c r="D3" s="4" t="inlineStr">
        <is>
          <t>İade</t>
        </is>
      </c>
      <c r="E3" s="4" t="inlineStr">
        <is>
          <t>Net Tutar</t>
        </is>
      </c>
      <c r="F3" s="4" t="inlineStr">
        <is>
          <t>Pay %</t>
        </is>
      </c>
    </row>
    <row r="4">
      <c r="A4" t="inlineStr">
        <is>
          <t>Mağusa Şube</t>
        </is>
      </c>
      <c r="B4" t="n">
        <v>1</v>
      </c>
      <c r="C4" s="1" t="n">
        <v>8925</v>
      </c>
      <c r="D4" s="1" t="n">
        <v>0</v>
      </c>
      <c r="E4" s="1">
        <f>C4-D4</f>
        <v/>
      </c>
      <c r="F4" s="5">
        <f>E4/E$7</f>
        <v/>
      </c>
    </row>
    <row r="5">
      <c r="A5" t="inlineStr">
        <is>
          <t>Intech Salamis Kiosk</t>
        </is>
      </c>
      <c r="B5" t="n">
        <v>0</v>
      </c>
      <c r="C5" s="1" t="n">
        <v>0</v>
      </c>
      <c r="D5" s="1" t="n">
        <v>0</v>
      </c>
      <c r="E5" s="1">
        <f>C5-D5</f>
        <v/>
      </c>
      <c r="F5" s="5">
        <f>E5/E$7</f>
        <v/>
      </c>
    </row>
    <row r="6">
      <c r="A6" t="inlineStr">
        <is>
          <t>Şubesi belirsiz</t>
        </is>
      </c>
      <c r="B6" t="n">
        <v>31</v>
      </c>
      <c r="C6" s="1" t="n">
        <v>227767.11</v>
      </c>
      <c r="D6" s="1" t="n">
        <v>13456.09</v>
      </c>
      <c r="E6" s="1">
        <f>C6-D6</f>
        <v/>
      </c>
      <c r="F6" s="5">
        <f>E6/E$7</f>
        <v/>
      </c>
    </row>
    <row r="7">
      <c r="A7" s="6" t="inlineStr">
        <is>
          <t>FATURA TOPLAMI</t>
        </is>
      </c>
      <c r="B7" s="6">
        <f>SUM(B4:B6)</f>
        <v/>
      </c>
      <c r="C7" s="7">
        <f>SUM(C4:C6)</f>
        <v/>
      </c>
      <c r="D7" s="7">
        <f>SUM(D4:D6)</f>
        <v/>
      </c>
      <c r="E7" s="7">
        <f>SUM(E4:E6)</f>
        <v/>
      </c>
      <c r="F7" s="8" t="n"/>
    </row>
    <row r="9">
      <c r="A9" s="9" t="inlineStr">
        <is>
          <t>Ödemeler (şubesiz, genel)</t>
        </is>
      </c>
    </row>
    <row r="10">
      <c r="A10" t="inlineStr">
        <is>
          <t>Devreden bakiye (2026 öncesi)</t>
        </is>
      </c>
      <c r="E10" s="1" t="n">
        <v>43927.75</v>
      </c>
    </row>
    <row r="11">
      <c r="A11" t="inlineStr">
        <is>
          <t>13.04.2026 – GD/282/HAVALE</t>
        </is>
      </c>
      <c r="E11" s="1" t="n">
        <v>-113526.11</v>
      </c>
    </row>
    <row r="12">
      <c r="A12" t="inlineStr">
        <is>
          <t>28.08.2026 – GD/567/ İŞBANKASI HAVALE</t>
        </is>
      </c>
      <c r="E12" s="1" t="n">
        <v>-97623.25</v>
      </c>
    </row>
    <row r="13">
      <c r="A13" s="9" t="inlineStr">
        <is>
          <t>Cari borç bakiyesi (dökümle aynı)</t>
        </is>
      </c>
      <c r="E13" s="10">
        <f>E7+SUM(E10:E12)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"/>
  <sheetViews>
    <sheetView tabSelected="1" topLeftCell="A28" workbookViewId="0">
      <pane ySplit="5" topLeftCell="A6" activePane="bottomLeft" state="frozen"/>
      <selection pane="bottomLeft" activeCell="M37" sqref="M37"/>
    </sheetView>
  </sheetViews>
  <sheetFormatPr baseColWidth="8" defaultRowHeight="14.4"/>
  <cols>
    <col width="10.109375" bestFit="1" customWidth="1" min="1" max="1"/>
    <col width="16.21875" bestFit="1" customWidth="1" min="2" max="2"/>
    <col width="49.88671875" bestFit="1" customWidth="1" min="3" max="3"/>
    <col width="12" bestFit="1" customWidth="1" min="4" max="4"/>
    <col width="13.5546875" bestFit="1" customWidth="1" min="7" max="7"/>
    <col width="11.6640625" bestFit="1" customWidth="1" min="8" max="9"/>
    <col width="9.33203125" bestFit="1" customWidth="1" min="11" max="11"/>
    <col width="9.6640625" bestFit="1" customWidth="1" min="12" max="12"/>
    <col width="11.6640625" bestFit="1" customWidth="1" min="13" max="13"/>
    <col width="22" customWidth="1" min="14" max="14"/>
  </cols>
  <sheetData>
    <row r="1">
      <c r="A1" t="inlineStr">
        <is>
          <t>Cari Kod</t>
        </is>
      </c>
      <c r="B1" t="inlineStr">
        <is>
          <t>AL000151</t>
        </is>
      </c>
      <c r="C1" t="inlineStr">
        <is>
          <t>GUA COFFEE COMPANY TRADING LTD</t>
        </is>
      </c>
    </row>
    <row r="2">
      <c r="C2" t="inlineStr">
        <is>
          <t>Tel :05528027982</t>
        </is>
      </c>
    </row>
    <row r="3">
      <c r="C3" t="inlineStr">
        <is>
          <t>MAGUSA MAGUSA MAGUSA</t>
        </is>
      </c>
    </row>
    <row r="5">
      <c r="A5" t="inlineStr">
        <is>
          <t>Tarih</t>
        </is>
      </c>
      <c r="B5" t="inlineStr">
        <is>
          <t>Fiş No</t>
        </is>
      </c>
      <c r="C5" t="inlineStr">
        <is>
          <t>Açıklama</t>
        </is>
      </c>
      <c r="D5" t="inlineStr">
        <is>
          <t>Vade Tarihi</t>
        </is>
      </c>
      <c r="E5" t="inlineStr">
        <is>
          <t>Borç Tut.</t>
        </is>
      </c>
      <c r="F5" t="inlineStr">
        <is>
          <t>Alac.Tut.</t>
        </is>
      </c>
      <c r="G5" t="inlineStr">
        <is>
          <t>Borç Bak.</t>
        </is>
      </c>
      <c r="H5" t="inlineStr">
        <is>
          <t>Alacak Bak.</t>
        </is>
      </c>
      <c r="I5" t="inlineStr">
        <is>
          <t>Plasiyer Kodu</t>
        </is>
      </c>
      <c r="N5" s="9" t="inlineStr">
        <is>
          <t>Şube</t>
        </is>
      </c>
    </row>
    <row r="6">
      <c r="C6" t="inlineStr">
        <is>
          <t>Devreden</t>
        </is>
      </c>
      <c r="E6" s="1" t="n">
        <v>43927.75</v>
      </c>
      <c r="F6" t="n">
        <v>0</v>
      </c>
      <c r="G6" s="1" t="n">
        <v>43927.75</v>
      </c>
      <c r="H6" t="n">
        <v>0</v>
      </c>
    </row>
    <row r="7">
      <c r="A7" s="2" t="n">
        <v>46050</v>
      </c>
      <c r="B7" t="inlineStr">
        <is>
          <t>A00000000242321</t>
        </is>
      </c>
      <c r="C7" t="inlineStr">
        <is>
          <t>FATURAMIZ</t>
        </is>
      </c>
      <c r="D7" s="2" t="n">
        <v>46080</v>
      </c>
      <c r="E7" s="1" t="n">
        <v>3960</v>
      </c>
      <c r="F7" t="n">
        <v>0</v>
      </c>
      <c r="G7" s="1" t="n">
        <v>47887.75</v>
      </c>
      <c r="H7" t="n">
        <v>0</v>
      </c>
      <c r="I7" t="inlineStr">
        <is>
          <t>MRK</t>
        </is>
      </c>
      <c r="N7" s="11" t="inlineStr"/>
    </row>
    <row r="8">
      <c r="B8" t="inlineStr">
        <is>
          <t>Stok Kodu</t>
        </is>
      </c>
      <c r="C8" t="inlineStr">
        <is>
          <t>Stok Adı</t>
        </is>
      </c>
      <c r="D8" t="inlineStr">
        <is>
          <t>Miktar</t>
        </is>
      </c>
      <c r="E8" t="inlineStr">
        <is>
          <t>Brüt Fiyat</t>
        </is>
      </c>
      <c r="F8" t="inlineStr">
        <is>
          <t>Net Fiyat</t>
        </is>
      </c>
      <c r="G8" t="inlineStr">
        <is>
          <t>Brüt Satış Tutarı</t>
        </is>
      </c>
      <c r="H8" t="inlineStr">
        <is>
          <t>İskonto Tutarı</t>
        </is>
      </c>
      <c r="I8" t="inlineStr">
        <is>
          <t>KDV Tutarı</t>
        </is>
      </c>
      <c r="J8" t="inlineStr">
        <is>
          <t>Tutar</t>
        </is>
      </c>
      <c r="K8" t="inlineStr">
        <is>
          <t>Döviz Fiyat</t>
        </is>
      </c>
      <c r="L8" t="inlineStr">
        <is>
          <t>Döviz Tutar</t>
        </is>
      </c>
      <c r="M8" t="inlineStr">
        <is>
          <t>Plasiyer Kodu</t>
        </is>
      </c>
    </row>
    <row r="9">
      <c r="B9" t="inlineStr">
        <is>
          <t>ATM038</t>
        </is>
      </c>
      <c r="C9" t="inlineStr">
        <is>
          <t>BOBAJOY MEYVE SUYU Y.MERSİNİ 4KG KL/4AD (3.)</t>
        </is>
      </c>
      <c r="D9" t="inlineStr">
        <is>
          <t>1-AD</t>
        </is>
      </c>
      <c r="E9" s="1" t="n">
        <v>1800</v>
      </c>
      <c r="F9" s="1" t="n">
        <v>1800</v>
      </c>
      <c r="G9" s="1" t="n">
        <v>1800</v>
      </c>
      <c r="H9" t="n">
        <v>0</v>
      </c>
      <c r="I9" t="n">
        <v>180</v>
      </c>
      <c r="J9" s="1" t="n">
        <v>1980</v>
      </c>
      <c r="K9" t="n">
        <v>0</v>
      </c>
      <c r="L9" t="n">
        <v>0</v>
      </c>
      <c r="M9" t="inlineStr">
        <is>
          <t>MRK</t>
        </is>
      </c>
    </row>
    <row r="10">
      <c r="B10" t="inlineStr">
        <is>
          <t>ATM017</t>
        </is>
      </c>
      <c r="C10" t="inlineStr">
        <is>
          <t>BOBAJOY MEYVE TOPLARI ÇİLEK 4KG KL/4AD (2.)</t>
        </is>
      </c>
      <c r="D10" t="inlineStr">
        <is>
          <t>1-AD</t>
        </is>
      </c>
      <c r="E10" s="1" t="n">
        <v>1800</v>
      </c>
      <c r="F10" s="1" t="n">
        <v>1800</v>
      </c>
      <c r="G10" s="1" t="n">
        <v>1800</v>
      </c>
      <c r="H10" t="n">
        <v>0</v>
      </c>
      <c r="I10" t="n">
        <v>180</v>
      </c>
      <c r="J10" s="1" t="n">
        <v>1980</v>
      </c>
      <c r="K10" t="n">
        <v>0</v>
      </c>
      <c r="L10" t="n">
        <v>0</v>
      </c>
      <c r="M10" t="inlineStr">
        <is>
          <t>MRK</t>
        </is>
      </c>
    </row>
    <row r="11">
      <c r="A11" s="2" t="n">
        <v>46050</v>
      </c>
      <c r="B11" t="inlineStr">
        <is>
          <t>A00000000242322</t>
        </is>
      </c>
      <c r="C11" t="inlineStr">
        <is>
          <t>FATURAMIZ</t>
        </is>
      </c>
      <c r="D11" s="2" t="n">
        <v>46080</v>
      </c>
      <c r="E11" s="1" t="n">
        <v>1980</v>
      </c>
      <c r="F11" t="n">
        <v>0</v>
      </c>
      <c r="G11" s="1" t="n">
        <v>49867.75</v>
      </c>
      <c r="H11" t="n">
        <v>0</v>
      </c>
      <c r="I11" t="inlineStr">
        <is>
          <t>MRK</t>
        </is>
      </c>
      <c r="N11" s="11" t="inlineStr"/>
    </row>
    <row r="12">
      <c r="B12" t="inlineStr">
        <is>
          <t>Stok Kodu</t>
        </is>
      </c>
      <c r="C12" t="inlineStr">
        <is>
          <t>Stok Adı</t>
        </is>
      </c>
      <c r="D12" t="inlineStr">
        <is>
          <t>Miktar</t>
        </is>
      </c>
      <c r="E12" t="inlineStr">
        <is>
          <t>Brüt Fiyat</t>
        </is>
      </c>
      <c r="F12" t="inlineStr">
        <is>
          <t>Net Fiyat</t>
        </is>
      </c>
      <c r="G12" t="inlineStr">
        <is>
          <t>Brüt Satış Tutarı</t>
        </is>
      </c>
      <c r="H12" t="inlineStr">
        <is>
          <t>İskonto Tutarı</t>
        </is>
      </c>
      <c r="I12" t="inlineStr">
        <is>
          <t>KDV Tutarı</t>
        </is>
      </c>
      <c r="J12" t="inlineStr">
        <is>
          <t>Tutar</t>
        </is>
      </c>
      <c r="K12" t="inlineStr">
        <is>
          <t>Döviz Fiyat</t>
        </is>
      </c>
      <c r="L12" t="inlineStr">
        <is>
          <t>Döviz Tutar</t>
        </is>
      </c>
      <c r="M12" t="inlineStr">
        <is>
          <t>Plasiyer Kodu</t>
        </is>
      </c>
    </row>
    <row r="13">
      <c r="B13" t="inlineStr">
        <is>
          <t>ATM041</t>
        </is>
      </c>
      <c r="C13" t="inlineStr">
        <is>
          <t>BOBAJOY MEYVE SUYU TOPLARI FRAMBUAZ 4 KG KL/4AD</t>
        </is>
      </c>
      <c r="D13" t="inlineStr">
        <is>
          <t>1-AD</t>
        </is>
      </c>
      <c r="E13" s="1" t="n">
        <v>1800</v>
      </c>
      <c r="F13" s="1" t="n">
        <v>1800</v>
      </c>
      <c r="G13" s="1" t="n">
        <v>1800</v>
      </c>
      <c r="H13" t="n">
        <v>0</v>
      </c>
      <c r="I13" t="n">
        <v>180</v>
      </c>
      <c r="J13" s="1" t="n">
        <v>1980</v>
      </c>
      <c r="K13" t="n">
        <v>0</v>
      </c>
      <c r="L13" t="n">
        <v>0</v>
      </c>
      <c r="M13" t="inlineStr">
        <is>
          <t>MRK</t>
        </is>
      </c>
    </row>
    <row r="14">
      <c r="A14" s="2" t="n">
        <v>46051</v>
      </c>
      <c r="B14" t="inlineStr">
        <is>
          <t>A00000000242346</t>
        </is>
      </c>
      <c r="C14" t="inlineStr">
        <is>
          <t>FATURAMIZ</t>
        </is>
      </c>
      <c r="D14" s="2" t="n">
        <v>46081</v>
      </c>
      <c r="E14" t="n">
        <v>870</v>
      </c>
      <c r="F14" t="n">
        <v>0</v>
      </c>
      <c r="G14" s="1" t="n">
        <v>50737.75</v>
      </c>
      <c r="H14" t="n">
        <v>0</v>
      </c>
      <c r="I14" t="inlineStr">
        <is>
          <t>MRK</t>
        </is>
      </c>
      <c r="N14" s="11" t="inlineStr"/>
    </row>
    <row r="15">
      <c r="B15" t="inlineStr">
        <is>
          <t>Stok Kodu</t>
        </is>
      </c>
      <c r="C15" t="inlineStr">
        <is>
          <t>Stok Adı</t>
        </is>
      </c>
      <c r="D15" t="inlineStr">
        <is>
          <t>Miktar</t>
        </is>
      </c>
      <c r="E15" t="inlineStr">
        <is>
          <t>Brüt Fiyat</t>
        </is>
      </c>
      <c r="F15" t="inlineStr">
        <is>
          <t>Net Fiyat</t>
        </is>
      </c>
      <c r="G15" t="inlineStr">
        <is>
          <t>Brüt Satış Tutarı</t>
        </is>
      </c>
      <c r="H15" t="inlineStr">
        <is>
          <t>İskonto Tutarı</t>
        </is>
      </c>
      <c r="I15" t="inlineStr">
        <is>
          <t>KDV Tutarı</t>
        </is>
      </c>
      <c r="J15" t="inlineStr">
        <is>
          <t>Tutar</t>
        </is>
      </c>
      <c r="K15" t="inlineStr">
        <is>
          <t>Döviz Fiyat</t>
        </is>
      </c>
      <c r="L15" t="inlineStr">
        <is>
          <t>Döviz Tutar</t>
        </is>
      </c>
      <c r="M15" t="inlineStr">
        <is>
          <t>Plasiyer Kodu</t>
        </is>
      </c>
    </row>
    <row r="16">
      <c r="B16" t="inlineStr">
        <is>
          <t>ATM076</t>
        </is>
      </c>
      <c r="C16" t="inlineStr">
        <is>
          <t>TEAJOY KONT.BAZ PLASTİK POMPASI</t>
        </is>
      </c>
      <c r="D16" t="inlineStr">
        <is>
          <t>5-AD</t>
        </is>
      </c>
      <c r="E16" t="n">
        <v>150</v>
      </c>
      <c r="F16" t="n">
        <v>150</v>
      </c>
      <c r="G16" t="n">
        <v>750</v>
      </c>
      <c r="H16" t="n">
        <v>0</v>
      </c>
      <c r="I16" t="n">
        <v>120</v>
      </c>
      <c r="J16" t="n">
        <v>870</v>
      </c>
      <c r="K16" t="n">
        <v>0</v>
      </c>
      <c r="L16" t="n">
        <v>0</v>
      </c>
      <c r="M16" t="inlineStr">
        <is>
          <t>MRK</t>
        </is>
      </c>
    </row>
    <row r="17">
      <c r="A17" s="2" t="n">
        <v>46055</v>
      </c>
      <c r="B17" t="inlineStr">
        <is>
          <t>A00000000242518</t>
        </is>
      </c>
      <c r="C17" t="inlineStr">
        <is>
          <t>FATURAMIZ</t>
        </is>
      </c>
      <c r="D17" s="2" t="n">
        <v>46085</v>
      </c>
      <c r="E17" s="1" t="n">
        <v>1190.25</v>
      </c>
      <c r="F17" t="n">
        <v>0</v>
      </c>
      <c r="G17" s="1" t="n">
        <v>51928</v>
      </c>
      <c r="H17" t="n">
        <v>0</v>
      </c>
      <c r="I17" t="inlineStr">
        <is>
          <t>MRK</t>
        </is>
      </c>
      <c r="N17" s="11" t="inlineStr"/>
    </row>
    <row r="18">
      <c r="B18" t="inlineStr">
        <is>
          <t>Stok Kodu</t>
        </is>
      </c>
      <c r="C18" t="inlineStr">
        <is>
          <t>Stok Adı</t>
        </is>
      </c>
      <c r="D18" t="inlineStr">
        <is>
          <t>Miktar</t>
        </is>
      </c>
      <c r="E18" t="inlineStr">
        <is>
          <t>Brüt Fiyat</t>
        </is>
      </c>
      <c r="F18" t="inlineStr">
        <is>
          <t>Net Fiyat</t>
        </is>
      </c>
      <c r="G18" t="inlineStr">
        <is>
          <t>Brüt Satış Tutarı</t>
        </is>
      </c>
      <c r="H18" t="inlineStr">
        <is>
          <t>İskonto Tutarı</t>
        </is>
      </c>
      <c r="I18" t="inlineStr">
        <is>
          <t>KDV Tutarı</t>
        </is>
      </c>
      <c r="J18" t="inlineStr">
        <is>
          <t>Tutar</t>
        </is>
      </c>
      <c r="K18" t="inlineStr">
        <is>
          <t>Döviz Fiyat</t>
        </is>
      </c>
      <c r="L18" t="inlineStr">
        <is>
          <t>Döviz Tutar</t>
        </is>
      </c>
      <c r="M18" t="inlineStr">
        <is>
          <t>Plasiyer Kodu</t>
        </is>
      </c>
    </row>
    <row r="19">
      <c r="B19" t="inlineStr">
        <is>
          <t>FG004</t>
        </is>
      </c>
      <c r="C19" t="inlineStr">
        <is>
          <t>PİPET KAĞIT BYZ BUBBLE 12X24 PK/75AD KL/14PK</t>
        </is>
      </c>
      <c r="D19" t="inlineStr">
        <is>
          <t>10-PK</t>
        </is>
      </c>
      <c r="E19" t="n">
        <v>102.608</v>
      </c>
      <c r="F19" t="n">
        <v>102.608</v>
      </c>
      <c r="G19" s="1" t="n">
        <v>1026.08</v>
      </c>
      <c r="H19" t="n">
        <v>0</v>
      </c>
      <c r="I19" t="n">
        <v>164.17</v>
      </c>
      <c r="J19" s="1" t="n">
        <v>1190.25</v>
      </c>
      <c r="K19" t="n">
        <v>2.332</v>
      </c>
      <c r="L19" t="n">
        <v>23.32</v>
      </c>
      <c r="M19" t="inlineStr">
        <is>
          <t>MRK</t>
        </is>
      </c>
    </row>
    <row r="20">
      <c r="A20" s="2" t="n">
        <v>46056</v>
      </c>
      <c r="B20" t="inlineStr">
        <is>
          <t>A00000000242620</t>
        </is>
      </c>
      <c r="C20" t="inlineStr">
        <is>
          <t>FATURAMIZ</t>
        </is>
      </c>
      <c r="D20" s="2" t="n">
        <v>46086</v>
      </c>
      <c r="E20" s="1" t="n">
        <v>11550</v>
      </c>
      <c r="F20" t="n">
        <v>0</v>
      </c>
      <c r="G20" s="1" t="n">
        <v>63478</v>
      </c>
      <c r="H20" t="n">
        <v>0</v>
      </c>
      <c r="I20" t="inlineStr">
        <is>
          <t>MRK</t>
        </is>
      </c>
      <c r="N20" s="11" t="inlineStr"/>
    </row>
    <row r="21">
      <c r="B21" t="inlineStr">
        <is>
          <t>Stok Kodu</t>
        </is>
      </c>
      <c r="C21" t="inlineStr">
        <is>
          <t>Stok Adı</t>
        </is>
      </c>
      <c r="D21" t="inlineStr">
        <is>
          <t>Miktar</t>
        </is>
      </c>
      <c r="E21" t="inlineStr">
        <is>
          <t>Brüt Fiyat</t>
        </is>
      </c>
      <c r="F21" t="inlineStr">
        <is>
          <t>Net Fiyat</t>
        </is>
      </c>
      <c r="G21" t="inlineStr">
        <is>
          <t>Brüt Satış Tutarı</t>
        </is>
      </c>
      <c r="H21" t="inlineStr">
        <is>
          <t>İskonto Tutarı</t>
        </is>
      </c>
      <c r="I21" t="inlineStr">
        <is>
          <t>KDV Tutarı</t>
        </is>
      </c>
      <c r="J21" t="inlineStr">
        <is>
          <t>Tutar</t>
        </is>
      </c>
      <c r="K21" t="inlineStr">
        <is>
          <t>Döviz Fiyat</t>
        </is>
      </c>
      <c r="L21" t="inlineStr">
        <is>
          <t>Döviz Tutar</t>
        </is>
      </c>
      <c r="M21" t="inlineStr">
        <is>
          <t>Plasiyer Kodu</t>
        </is>
      </c>
    </row>
    <row r="22">
      <c r="B22" t="inlineStr">
        <is>
          <t>MRS0011</t>
        </is>
      </c>
      <c r="C22" t="inlineStr">
        <is>
          <t>GUA İKİLİ TAŞIYICI PK/100 ADETLİ</t>
        </is>
      </c>
      <c r="D22" t="inlineStr">
        <is>
          <t>1000-AD</t>
        </is>
      </c>
      <c r="E22" t="n">
        <v>11</v>
      </c>
      <c r="F22" t="n">
        <v>11</v>
      </c>
      <c r="G22" s="1" t="n">
        <v>11000</v>
      </c>
      <c r="H22" t="n">
        <v>0</v>
      </c>
      <c r="I22" t="n">
        <v>550</v>
      </c>
      <c r="J22" s="1" t="n">
        <v>11550</v>
      </c>
      <c r="K22" t="n">
        <v>0</v>
      </c>
      <c r="L22" t="n">
        <v>0</v>
      </c>
      <c r="M22" t="inlineStr">
        <is>
          <t>MRK</t>
        </is>
      </c>
    </row>
    <row r="23">
      <c r="A23" s="2" t="n">
        <v>46063</v>
      </c>
      <c r="B23" t="inlineStr">
        <is>
          <t>A00000000243183</t>
        </is>
      </c>
      <c r="C23" t="inlineStr">
        <is>
          <t>FATURAMIZ</t>
        </is>
      </c>
      <c r="D23" s="2" t="n">
        <v>46093</v>
      </c>
      <c r="E23" s="1" t="n">
        <v>1291.13</v>
      </c>
      <c r="F23" t="n">
        <v>0</v>
      </c>
      <c r="G23" s="1" t="n">
        <v>64769.13</v>
      </c>
      <c r="H23" t="n">
        <v>0</v>
      </c>
      <c r="I23" t="inlineStr">
        <is>
          <t>MRK</t>
        </is>
      </c>
      <c r="N23" s="11" t="inlineStr"/>
    </row>
    <row r="24">
      <c r="B24" t="inlineStr">
        <is>
          <t>Stok Kodu</t>
        </is>
      </c>
      <c r="C24" t="inlineStr">
        <is>
          <t>Stok Adı</t>
        </is>
      </c>
      <c r="D24" t="inlineStr">
        <is>
          <t>Miktar</t>
        </is>
      </c>
      <c r="E24" t="inlineStr">
        <is>
          <t>Brüt Fiyat</t>
        </is>
      </c>
      <c r="F24" t="inlineStr">
        <is>
          <t>Net Fiyat</t>
        </is>
      </c>
      <c r="G24" t="inlineStr">
        <is>
          <t>Brüt Satış Tutarı</t>
        </is>
      </c>
      <c r="H24" t="inlineStr">
        <is>
          <t>İskonto Tutarı</t>
        </is>
      </c>
      <c r="I24" t="inlineStr">
        <is>
          <t>KDV Tutarı</t>
        </is>
      </c>
      <c r="J24" t="inlineStr">
        <is>
          <t>Tutar</t>
        </is>
      </c>
      <c r="K24" t="inlineStr">
        <is>
          <t>Döviz Fiyat</t>
        </is>
      </c>
      <c r="L24" t="inlineStr">
        <is>
          <t>Döviz Tutar</t>
        </is>
      </c>
      <c r="M24" t="inlineStr">
        <is>
          <t>Plasiyer Kodu</t>
        </is>
      </c>
    </row>
    <row r="25">
      <c r="B25" t="inlineStr">
        <is>
          <t>ATM076</t>
        </is>
      </c>
      <c r="C25" t="inlineStr">
        <is>
          <t>TEAJOY KONT.BAZ PLASTİK POMPASI</t>
        </is>
      </c>
      <c r="D25" t="inlineStr">
        <is>
          <t>4-AD</t>
        </is>
      </c>
      <c r="E25" t="n">
        <v>150</v>
      </c>
      <c r="F25" t="n">
        <v>150</v>
      </c>
      <c r="G25" t="n">
        <v>600</v>
      </c>
      <c r="H25" t="n">
        <v>0</v>
      </c>
      <c r="I25" t="n">
        <v>96</v>
      </c>
      <c r="J25" t="n">
        <v>696</v>
      </c>
      <c r="K25" t="n">
        <v>0</v>
      </c>
      <c r="L25" t="n">
        <v>0</v>
      </c>
      <c r="M25" t="inlineStr">
        <is>
          <t>MRK</t>
        </is>
      </c>
    </row>
    <row r="26">
      <c r="B26" t="inlineStr">
        <is>
          <t>FG004</t>
        </is>
      </c>
      <c r="C26" t="inlineStr">
        <is>
          <t>PİPET KAĞIT BYZ BUBBLE 12X24 PK/75AD KL/14PK</t>
        </is>
      </c>
      <c r="D26" t="inlineStr">
        <is>
          <t>5-PK</t>
        </is>
      </c>
      <c r="E26" t="n">
        <v>102.608</v>
      </c>
      <c r="F26" t="n">
        <v>102.608</v>
      </c>
      <c r="G26" t="n">
        <v>513.04</v>
      </c>
      <c r="H26" t="n">
        <v>0</v>
      </c>
      <c r="I26" t="n">
        <v>82.09</v>
      </c>
      <c r="J26" t="n">
        <v>595.13</v>
      </c>
      <c r="K26" t="n">
        <v>2.332</v>
      </c>
      <c r="L26" t="n">
        <v>11.66</v>
      </c>
      <c r="M26" t="inlineStr">
        <is>
          <t>MRK</t>
        </is>
      </c>
    </row>
    <row r="27">
      <c r="A27" s="2" t="n">
        <v>46078</v>
      </c>
      <c r="B27" t="inlineStr">
        <is>
          <t>A00000000244577</t>
        </is>
      </c>
      <c r="C27" t="inlineStr">
        <is>
          <t>FATURAMIZ</t>
        </is>
      </c>
      <c r="D27" s="2" t="n">
        <v>46168</v>
      </c>
      <c r="E27" s="1" t="n">
        <v>33852</v>
      </c>
      <c r="F27" t="n">
        <v>0</v>
      </c>
      <c r="G27" s="1" t="n">
        <v>98621.13</v>
      </c>
      <c r="H27" t="n">
        <v>0</v>
      </c>
      <c r="I27" t="inlineStr">
        <is>
          <t>MRK</t>
        </is>
      </c>
      <c r="N27" s="11" t="inlineStr"/>
    </row>
    <row r="28">
      <c r="B28" t="inlineStr">
        <is>
          <t>Stok Kodu</t>
        </is>
      </c>
      <c r="C28" t="inlineStr">
        <is>
          <t>Stok Adı</t>
        </is>
      </c>
      <c r="D28" t="inlineStr">
        <is>
          <t>Miktar</t>
        </is>
      </c>
      <c r="E28" t="inlineStr">
        <is>
          <t>Brüt Fiyat</t>
        </is>
      </c>
      <c r="F28" t="inlineStr">
        <is>
          <t>Net Fiyat</t>
        </is>
      </c>
      <c r="G28" t="inlineStr">
        <is>
          <t>Brüt Satış Tutarı</t>
        </is>
      </c>
      <c r="H28" t="inlineStr">
        <is>
          <t>İskonto Tutarı</t>
        </is>
      </c>
      <c r="I28" t="inlineStr">
        <is>
          <t>KDV Tutarı</t>
        </is>
      </c>
      <c r="J28" t="inlineStr">
        <is>
          <t>Tutar</t>
        </is>
      </c>
      <c r="K28" t="inlineStr">
        <is>
          <t>Döviz Fiyat</t>
        </is>
      </c>
      <c r="L28" t="inlineStr">
        <is>
          <t>Döviz Tutar</t>
        </is>
      </c>
      <c r="M28" t="inlineStr">
        <is>
          <t>Plasiyer Kodu</t>
        </is>
      </c>
    </row>
    <row r="29">
      <c r="B29" t="inlineStr">
        <is>
          <t>BBT0302</t>
        </is>
      </c>
      <c r="C29" t="inlineStr">
        <is>
          <t>GUA RAMAZAN 14 OZ DW KARTON BARDAK KL/500AD</t>
        </is>
      </c>
      <c r="D29" t="inlineStr">
        <is>
          <t>10000-AD</t>
        </is>
      </c>
      <c r="E29" t="n">
        <v>3.224</v>
      </c>
      <c r="F29" t="n">
        <v>3.224</v>
      </c>
      <c r="G29" s="1" t="n">
        <v>32240</v>
      </c>
      <c r="H29" t="n">
        <v>0</v>
      </c>
      <c r="I29" s="1" t="n">
        <v>1612</v>
      </c>
      <c r="J29" s="1" t="n">
        <v>33852</v>
      </c>
      <c r="K29" t="n">
        <v>0.062</v>
      </c>
      <c r="L29" t="n">
        <v>620</v>
      </c>
      <c r="M29" t="inlineStr">
        <is>
          <t>MRK</t>
        </is>
      </c>
    </row>
    <row r="30">
      <c r="A30" s="2" t="n">
        <v>46106</v>
      </c>
      <c r="B30" t="inlineStr">
        <is>
          <t>A00000000246358</t>
        </is>
      </c>
      <c r="C30" t="inlineStr">
        <is>
          <t>FATURAMIZ</t>
        </is>
      </c>
      <c r="D30" s="2" t="n">
        <v>46196</v>
      </c>
      <c r="E30" s="1" t="n">
        <v>6153.59</v>
      </c>
      <c r="F30" t="n">
        <v>0</v>
      </c>
      <c r="G30" s="1" t="n">
        <v>104774.72</v>
      </c>
      <c r="H30" t="n">
        <v>0</v>
      </c>
      <c r="I30" t="inlineStr">
        <is>
          <t>MRK</t>
        </is>
      </c>
      <c r="N30" s="11" t="inlineStr"/>
    </row>
    <row r="31">
      <c r="B31" t="inlineStr">
        <is>
          <t>Stok Kodu</t>
        </is>
      </c>
      <c r="C31" t="inlineStr">
        <is>
          <t>Stok Adı</t>
        </is>
      </c>
      <c r="D31" t="inlineStr">
        <is>
          <t>Miktar</t>
        </is>
      </c>
      <c r="E31" t="inlineStr">
        <is>
          <t>Brüt Fiyat</t>
        </is>
      </c>
      <c r="F31" t="inlineStr">
        <is>
          <t>Net Fiyat</t>
        </is>
      </c>
      <c r="G31" t="inlineStr">
        <is>
          <t>Brüt Satış Tutarı</t>
        </is>
      </c>
      <c r="H31" t="inlineStr">
        <is>
          <t>İskonto Tutarı</t>
        </is>
      </c>
      <c r="I31" t="inlineStr">
        <is>
          <t>KDV Tutarı</t>
        </is>
      </c>
      <c r="J31" t="inlineStr">
        <is>
          <t>Tutar</t>
        </is>
      </c>
      <c r="K31" t="inlineStr">
        <is>
          <t>Döviz Fiyat</t>
        </is>
      </c>
      <c r="L31" t="inlineStr">
        <is>
          <t>Döviz Tutar</t>
        </is>
      </c>
      <c r="M31" t="inlineStr">
        <is>
          <t>Plasiyer Kodu</t>
        </is>
      </c>
    </row>
    <row r="32">
      <c r="B32" t="inlineStr">
        <is>
          <t>GUS124</t>
        </is>
      </c>
      <c r="C32" t="inlineStr">
        <is>
          <t>GUSSE MEY.PÜRE 1,1LT  YABAN MERSİNİ</t>
        </is>
      </c>
      <c r="D32" t="inlineStr">
        <is>
          <t>1-AD</t>
        </is>
      </c>
      <c r="E32" t="n">
        <v>872.85</v>
      </c>
      <c r="F32" t="n">
        <v>872.85</v>
      </c>
      <c r="G32" t="n">
        <v>872.85</v>
      </c>
      <c r="H32" t="n">
        <v>0</v>
      </c>
      <c r="I32" t="n">
        <v>43.64</v>
      </c>
      <c r="J32" t="n">
        <v>916.49</v>
      </c>
      <c r="K32" t="n">
        <v>0</v>
      </c>
      <c r="L32" t="n">
        <v>0</v>
      </c>
      <c r="M32" t="inlineStr">
        <is>
          <t>MRK</t>
        </is>
      </c>
    </row>
    <row r="33">
      <c r="B33" t="inlineStr">
        <is>
          <t>ATM030</t>
        </is>
      </c>
      <c r="C33" t="inlineStr">
        <is>
          <t>BOBAJOY MEYVE SUYU TOPLARI YEŞİL ELMA 4KG KL/4AD (2.)</t>
        </is>
      </c>
      <c r="D33" t="inlineStr">
        <is>
          <t>1-AD</t>
        </is>
      </c>
      <c r="E33" s="1" t="n">
        <v>2380.5</v>
      </c>
      <c r="F33" s="1" t="n">
        <v>2380.5</v>
      </c>
      <c r="G33" s="1" t="n">
        <v>2380.5</v>
      </c>
      <c r="H33" t="n">
        <v>0</v>
      </c>
      <c r="I33" t="n">
        <v>238.05</v>
      </c>
      <c r="J33" s="1" t="n">
        <v>2618.55</v>
      </c>
      <c r="K33" t="n">
        <v>0</v>
      </c>
      <c r="L33" t="n">
        <v>0</v>
      </c>
      <c r="M33" t="inlineStr">
        <is>
          <t>MRK</t>
        </is>
      </c>
    </row>
    <row r="34">
      <c r="B34" t="inlineStr">
        <is>
          <t>ATM038</t>
        </is>
      </c>
      <c r="C34" t="inlineStr">
        <is>
          <t>BOBAJOY MEYVE SUYU Y.MERSİNİ 4KG KL/4AD (3.)</t>
        </is>
      </c>
      <c r="D34" t="inlineStr">
        <is>
          <t>1-AD</t>
        </is>
      </c>
      <c r="E34" s="1" t="n">
        <v>2380.5</v>
      </c>
      <c r="F34" s="1" t="n">
        <v>2380.5</v>
      </c>
      <c r="G34" s="1" t="n">
        <v>2380.5</v>
      </c>
      <c r="H34" t="n">
        <v>0</v>
      </c>
      <c r="I34" t="n">
        <v>238.05</v>
      </c>
      <c r="J34" s="1" t="n">
        <v>2618.55</v>
      </c>
      <c r="K34" t="n">
        <v>0</v>
      </c>
      <c r="L34" t="n">
        <v>0</v>
      </c>
      <c r="M34" t="inlineStr">
        <is>
          <t>MRK</t>
        </is>
      </c>
    </row>
    <row r="35">
      <c r="A35" s="2" t="n">
        <v>46108</v>
      </c>
      <c r="B35" t="inlineStr">
        <is>
          <t>A00000000246493</t>
        </is>
      </c>
      <c r="C35" t="inlineStr">
        <is>
          <t>FATURAMIZ</t>
        </is>
      </c>
      <c r="D35" s="2" t="n">
        <v>46198</v>
      </c>
      <c r="E35" s="1" t="n">
        <v>5509.88</v>
      </c>
      <c r="F35" t="n">
        <v>0</v>
      </c>
      <c r="G35" s="1" t="n">
        <v>110284.6</v>
      </c>
      <c r="H35" t="n">
        <v>0</v>
      </c>
      <c r="I35" t="inlineStr">
        <is>
          <t>MRK</t>
        </is>
      </c>
      <c r="N35" s="11" t="inlineStr"/>
    </row>
    <row r="36">
      <c r="B36" t="inlineStr">
        <is>
          <t>Stok Kodu</t>
        </is>
      </c>
      <c r="C36" t="inlineStr">
        <is>
          <t>Stok Adı</t>
        </is>
      </c>
      <c r="D36" t="inlineStr">
        <is>
          <t>Miktar</t>
        </is>
      </c>
      <c r="E36" t="inlineStr">
        <is>
          <t>Brüt Fiyat</t>
        </is>
      </c>
      <c r="F36" t="inlineStr">
        <is>
          <t>Net Fiyat</t>
        </is>
      </c>
      <c r="G36" t="inlineStr">
        <is>
          <t>Brüt Satış Tutarı</t>
        </is>
      </c>
      <c r="H36" t="inlineStr">
        <is>
          <t>İskonto Tutarı</t>
        </is>
      </c>
      <c r="I36" t="inlineStr">
        <is>
          <t>KDV Tutarı</t>
        </is>
      </c>
      <c r="J36" t="inlineStr">
        <is>
          <t>Tutar</t>
        </is>
      </c>
      <c r="K36" t="inlineStr">
        <is>
          <t>Döviz Fiyat</t>
        </is>
      </c>
      <c r="L36" t="inlineStr">
        <is>
          <t>Döviz Tutar</t>
        </is>
      </c>
      <c r="M36" t="inlineStr">
        <is>
          <t>Plasiyer Kodu</t>
        </is>
      </c>
    </row>
    <row r="37">
      <c r="B37" t="inlineStr">
        <is>
          <t>MRS0010</t>
        </is>
      </c>
      <c r="C37" t="inlineStr">
        <is>
          <t>GUA BASKILI 22X11X28 KRAFT DÜZ SAP KL/300</t>
        </is>
      </c>
      <c r="D37" t="inlineStr">
        <is>
          <t>250-AD</t>
        </is>
      </c>
      <c r="E37" t="n">
        <v>18.35</v>
      </c>
      <c r="F37" t="n">
        <v>18.35</v>
      </c>
      <c r="G37" s="1" t="n">
        <v>4587.5</v>
      </c>
      <c r="H37" t="n">
        <v>0</v>
      </c>
      <c r="I37" t="n">
        <v>229.38</v>
      </c>
      <c r="J37" s="1" t="n">
        <v>4816.88</v>
      </c>
      <c r="K37" t="n">
        <v>0</v>
      </c>
      <c r="L37" t="n">
        <v>0</v>
      </c>
      <c r="M37" t="inlineStr">
        <is>
          <t>MRK</t>
        </is>
      </c>
    </row>
    <row r="38">
      <c r="B38" t="inlineStr">
        <is>
          <t>GUS123</t>
        </is>
      </c>
      <c r="C38" t="inlineStr">
        <is>
          <t>GUSSE MEY.PÜRE 1,1LT  BÖĞÜRTLEN</t>
        </is>
      </c>
      <c r="D38" t="inlineStr">
        <is>
          <t>1-AD</t>
        </is>
      </c>
      <c r="E38" t="n">
        <v>660</v>
      </c>
      <c r="F38" t="n">
        <v>660</v>
      </c>
      <c r="G38" t="n">
        <v>660</v>
      </c>
      <c r="H38" t="n">
        <v>0</v>
      </c>
      <c r="I38" t="n">
        <v>33</v>
      </c>
      <c r="J38" t="n">
        <v>693</v>
      </c>
      <c r="K38" t="n">
        <v>0</v>
      </c>
      <c r="L38" t="n">
        <v>0</v>
      </c>
      <c r="M38" t="inlineStr">
        <is>
          <t>MRK</t>
        </is>
      </c>
    </row>
    <row r="39">
      <c r="A39" s="2" t="n">
        <v>46108</v>
      </c>
      <c r="B39" t="inlineStr">
        <is>
          <t>A00000000246753</t>
        </is>
      </c>
      <c r="C39" t="inlineStr">
        <is>
          <t>FATURAMIZ</t>
        </is>
      </c>
      <c r="D39" s="2" t="n">
        <v>46198</v>
      </c>
      <c r="E39" s="1" t="n">
        <v>4158</v>
      </c>
      <c r="F39" t="n">
        <v>0</v>
      </c>
      <c r="G39" s="1" t="n">
        <v>114442.6</v>
      </c>
      <c r="H39" t="n">
        <v>0</v>
      </c>
      <c r="I39" t="inlineStr">
        <is>
          <t>MRK</t>
        </is>
      </c>
      <c r="N39" s="11" t="inlineStr"/>
    </row>
    <row r="40">
      <c r="B40" t="inlineStr">
        <is>
          <t>Stok Kodu</t>
        </is>
      </c>
      <c r="C40" t="inlineStr">
        <is>
          <t>Stok Adı</t>
        </is>
      </c>
      <c r="D40" t="inlineStr">
        <is>
          <t>Miktar</t>
        </is>
      </c>
      <c r="E40" t="inlineStr">
        <is>
          <t>Brüt Fiyat</t>
        </is>
      </c>
      <c r="F40" t="inlineStr">
        <is>
          <t>Net Fiyat</t>
        </is>
      </c>
      <c r="G40" t="inlineStr">
        <is>
          <t>Brüt Satış Tutarı</t>
        </is>
      </c>
      <c r="H40" t="inlineStr">
        <is>
          <t>İskonto Tutarı</t>
        </is>
      </c>
      <c r="I40" t="inlineStr">
        <is>
          <t>KDV Tutarı</t>
        </is>
      </c>
      <c r="J40" t="inlineStr">
        <is>
          <t>Tutar</t>
        </is>
      </c>
      <c r="K40" t="inlineStr">
        <is>
          <t>Döviz Fiyat</t>
        </is>
      </c>
      <c r="L40" t="inlineStr">
        <is>
          <t>Döviz Tutar</t>
        </is>
      </c>
      <c r="M40" t="inlineStr">
        <is>
          <t>Plasiyer Kodu</t>
        </is>
      </c>
    </row>
    <row r="41">
      <c r="B41" t="inlineStr">
        <is>
          <t>GUS123</t>
        </is>
      </c>
      <c r="C41" t="inlineStr">
        <is>
          <t>GUSSE MEY.PÜRE 1,1LT  BÖĞÜRTLEN</t>
        </is>
      </c>
      <c r="D41" t="inlineStr">
        <is>
          <t>6-AD</t>
        </is>
      </c>
      <c r="E41" t="n">
        <v>660</v>
      </c>
      <c r="F41" t="n">
        <v>660</v>
      </c>
      <c r="G41" s="1" t="n">
        <v>3960</v>
      </c>
      <c r="H41" t="n">
        <v>0</v>
      </c>
      <c r="I41" t="n">
        <v>198</v>
      </c>
      <c r="J41" s="1" t="n">
        <v>4158</v>
      </c>
      <c r="K41" t="n">
        <v>0</v>
      </c>
      <c r="L41" t="n">
        <v>0</v>
      </c>
      <c r="M41" t="inlineStr">
        <is>
          <t>MRK</t>
        </is>
      </c>
    </row>
    <row r="42">
      <c r="A42" s="2" t="n">
        <v>46108</v>
      </c>
      <c r="B42" t="inlineStr">
        <is>
          <t>I00000000246861</t>
        </is>
      </c>
      <c r="C42" t="inlineStr">
        <is>
          <t>IADE FATURANIZ</t>
        </is>
      </c>
      <c r="D42" s="2" t="n">
        <v>46198</v>
      </c>
      <c r="E42" t="n">
        <v>0</v>
      </c>
      <c r="F42" t="n">
        <v>916.49</v>
      </c>
      <c r="G42" s="1" t="n">
        <v>113526.11</v>
      </c>
      <c r="H42" t="n">
        <v>0</v>
      </c>
      <c r="I42" t="inlineStr">
        <is>
          <t>MRK</t>
        </is>
      </c>
      <c r="N42" s="11" t="inlineStr"/>
    </row>
    <row r="43">
      <c r="B43" t="inlineStr">
        <is>
          <t>Stok Kodu</t>
        </is>
      </c>
      <c r="C43" t="inlineStr">
        <is>
          <t>Stok Adı</t>
        </is>
      </c>
      <c r="D43" t="inlineStr">
        <is>
          <t>Miktar</t>
        </is>
      </c>
      <c r="E43" t="inlineStr">
        <is>
          <t>Brüt Fiyat</t>
        </is>
      </c>
      <c r="F43" t="inlineStr">
        <is>
          <t>Net Fiyat</t>
        </is>
      </c>
      <c r="G43" t="inlineStr">
        <is>
          <t>Brüt Satış Tutarı</t>
        </is>
      </c>
      <c r="H43" t="inlineStr">
        <is>
          <t>İskonto Tutarı</t>
        </is>
      </c>
      <c r="I43" t="inlineStr">
        <is>
          <t>KDV Tutarı</t>
        </is>
      </c>
      <c r="J43" t="inlineStr">
        <is>
          <t>Tutar</t>
        </is>
      </c>
      <c r="K43" t="inlineStr">
        <is>
          <t>Döviz Fiyat</t>
        </is>
      </c>
      <c r="L43" t="inlineStr">
        <is>
          <t>Döviz Tutar</t>
        </is>
      </c>
      <c r="M43" t="inlineStr">
        <is>
          <t>Plasiyer Kodu</t>
        </is>
      </c>
    </row>
    <row r="44">
      <c r="B44" t="inlineStr">
        <is>
          <t>GUS124</t>
        </is>
      </c>
      <c r="C44" t="inlineStr">
        <is>
          <t>GUSSE MEY.PÜRE 1,1LT  YABAN MERSİNİ</t>
        </is>
      </c>
      <c r="D44" t="inlineStr">
        <is>
          <t>1-AD</t>
        </is>
      </c>
      <c r="E44" t="n">
        <v>872.85</v>
      </c>
      <c r="F44" t="n">
        <v>872.85</v>
      </c>
      <c r="G44" t="n">
        <v>872.85</v>
      </c>
      <c r="H44" t="n">
        <v>0</v>
      </c>
      <c r="I44" t="n">
        <v>43.64</v>
      </c>
      <c r="J44" t="n">
        <v>916.49</v>
      </c>
      <c r="K44" t="n">
        <v>0</v>
      </c>
      <c r="L44" t="n">
        <v>0</v>
      </c>
      <c r="M44" t="inlineStr">
        <is>
          <t>MRK</t>
        </is>
      </c>
    </row>
    <row r="45">
      <c r="A45" s="2" t="n">
        <v>46125</v>
      </c>
      <c r="B45" t="inlineStr">
        <is>
          <t>A00000000248046</t>
        </is>
      </c>
      <c r="C45" t="inlineStr">
        <is>
          <t>FATURAMIZ</t>
        </is>
      </c>
      <c r="D45" s="2" t="n">
        <v>46215</v>
      </c>
      <c r="E45" s="1" t="n">
        <v>8118</v>
      </c>
      <c r="F45" t="n">
        <v>0</v>
      </c>
      <c r="G45" s="1" t="n">
        <v>121644.11</v>
      </c>
      <c r="H45" t="n">
        <v>0</v>
      </c>
      <c r="I45" t="inlineStr">
        <is>
          <t>MRK</t>
        </is>
      </c>
      <c r="N45" s="11" t="inlineStr"/>
    </row>
    <row r="46">
      <c r="B46" t="inlineStr">
        <is>
          <t>Stok Kodu</t>
        </is>
      </c>
      <c r="C46" t="inlineStr">
        <is>
          <t>Stok Adı</t>
        </is>
      </c>
      <c r="D46" t="inlineStr">
        <is>
          <t>Miktar</t>
        </is>
      </c>
      <c r="E46" t="inlineStr">
        <is>
          <t>Brüt Fiyat</t>
        </is>
      </c>
      <c r="F46" t="inlineStr">
        <is>
          <t>Net Fiyat</t>
        </is>
      </c>
      <c r="G46" t="inlineStr">
        <is>
          <t>Brüt Satış Tutarı</t>
        </is>
      </c>
      <c r="H46" t="inlineStr">
        <is>
          <t>İskonto Tutarı</t>
        </is>
      </c>
      <c r="I46" t="inlineStr">
        <is>
          <t>KDV Tutarı</t>
        </is>
      </c>
      <c r="J46" t="inlineStr">
        <is>
          <t>Tutar</t>
        </is>
      </c>
      <c r="K46" t="inlineStr">
        <is>
          <t>Döviz Fiyat</t>
        </is>
      </c>
      <c r="L46" t="inlineStr">
        <is>
          <t>Döviz Tutar</t>
        </is>
      </c>
      <c r="M46" t="inlineStr">
        <is>
          <t>Plasiyer Kodu</t>
        </is>
      </c>
    </row>
    <row r="47">
      <c r="B47" t="inlineStr">
        <is>
          <t>GUS123</t>
        </is>
      </c>
      <c r="C47" t="inlineStr">
        <is>
          <t>GUSSE MEY.PÜRE 1,1LT  BÖĞÜRTLEN</t>
        </is>
      </c>
      <c r="D47" t="inlineStr">
        <is>
          <t>6-AD</t>
        </is>
      </c>
      <c r="E47" t="n">
        <v>660</v>
      </c>
      <c r="F47" t="n">
        <v>660</v>
      </c>
      <c r="G47" s="1" t="n">
        <v>3960</v>
      </c>
      <c r="H47" t="n">
        <v>0</v>
      </c>
      <c r="I47" t="n">
        <v>198</v>
      </c>
      <c r="J47" s="1" t="n">
        <v>4158</v>
      </c>
      <c r="K47" t="n">
        <v>0</v>
      </c>
      <c r="L47" t="n">
        <v>0</v>
      </c>
      <c r="M47" t="inlineStr">
        <is>
          <t>MRK</t>
        </is>
      </c>
    </row>
    <row r="48">
      <c r="B48" t="inlineStr">
        <is>
          <t>ATM017</t>
        </is>
      </c>
      <c r="C48" t="inlineStr">
        <is>
          <t>BOBAJOY MEYVE TOPLARI ÇİLEK 4KG KL/4AD (2.)</t>
        </is>
      </c>
      <c r="D48" t="inlineStr">
        <is>
          <t>1-AD</t>
        </is>
      </c>
      <c r="E48" s="1" t="n">
        <v>1800</v>
      </c>
      <c r="F48" s="1" t="n">
        <v>1800</v>
      </c>
      <c r="G48" s="1" t="n">
        <v>1800</v>
      </c>
      <c r="H48" t="n">
        <v>0</v>
      </c>
      <c r="I48" t="n">
        <v>180</v>
      </c>
      <c r="J48" s="1" t="n">
        <v>1980</v>
      </c>
      <c r="K48" t="n">
        <v>0</v>
      </c>
      <c r="L48" t="n">
        <v>0</v>
      </c>
      <c r="M48" t="inlineStr">
        <is>
          <t>MRK</t>
        </is>
      </c>
    </row>
    <row r="49">
      <c r="B49" t="inlineStr">
        <is>
          <t>ATM038</t>
        </is>
      </c>
      <c r="C49" t="inlineStr">
        <is>
          <t>BOBAJOY MEYVE SUYU Y.MERSİNİ 4KG KL/4AD (3.)</t>
        </is>
      </c>
      <c r="D49" t="inlineStr">
        <is>
          <t>1-AD</t>
        </is>
      </c>
      <c r="E49" s="1" t="n">
        <v>1800</v>
      </c>
      <c r="F49" s="1" t="n">
        <v>1800</v>
      </c>
      <c r="G49" s="1" t="n">
        <v>1800</v>
      </c>
      <c r="H49" t="n">
        <v>0</v>
      </c>
      <c r="I49" t="n">
        <v>180</v>
      </c>
      <c r="J49" s="1" t="n">
        <v>1980</v>
      </c>
      <c r="K49" t="n">
        <v>0</v>
      </c>
      <c r="L49" t="n">
        <v>0</v>
      </c>
      <c r="M49" t="inlineStr">
        <is>
          <t>MRK</t>
        </is>
      </c>
    </row>
    <row r="50">
      <c r="A50" s="2" t="n">
        <v>46125</v>
      </c>
      <c r="B50" t="inlineStr">
        <is>
          <t>GD282</t>
        </is>
      </c>
      <c r="C50" t="inlineStr">
        <is>
          <t>GD/282/HAVALE</t>
        </is>
      </c>
      <c r="D50" s="2" t="n">
        <v>46125</v>
      </c>
      <c r="E50" t="n">
        <v>0</v>
      </c>
      <c r="F50" s="1" t="n">
        <v>113526.11</v>
      </c>
      <c r="G50" s="1" t="n">
        <v>8118</v>
      </c>
      <c r="H50" t="n">
        <v>0</v>
      </c>
      <c r="I50" t="inlineStr">
        <is>
          <t>MRK</t>
        </is>
      </c>
    </row>
    <row r="51">
      <c r="A51" s="2" t="n">
        <v>46141</v>
      </c>
      <c r="B51" t="inlineStr">
        <is>
          <t>A00000000249366</t>
        </is>
      </c>
      <c r="C51" t="inlineStr">
        <is>
          <t>FATURAMIZ</t>
        </is>
      </c>
      <c r="D51" s="2" t="n">
        <v>46231</v>
      </c>
      <c r="E51" s="1" t="n">
        <v>7920</v>
      </c>
      <c r="F51" t="n">
        <v>0</v>
      </c>
      <c r="G51" s="1" t="n">
        <v>16038</v>
      </c>
      <c r="H51" t="n">
        <v>0</v>
      </c>
      <c r="I51" t="inlineStr">
        <is>
          <t>MRK</t>
        </is>
      </c>
      <c r="N51" s="11" t="inlineStr"/>
    </row>
    <row r="52">
      <c r="B52" t="inlineStr">
        <is>
          <t>Stok Kodu</t>
        </is>
      </c>
      <c r="C52" t="inlineStr">
        <is>
          <t>Stok Adı</t>
        </is>
      </c>
      <c r="D52" t="inlineStr">
        <is>
          <t>Miktar</t>
        </is>
      </c>
      <c r="E52" t="inlineStr">
        <is>
          <t>Brüt Fiyat</t>
        </is>
      </c>
      <c r="F52" t="inlineStr">
        <is>
          <t>Net Fiyat</t>
        </is>
      </c>
      <c r="G52" t="inlineStr">
        <is>
          <t>Brüt Satış Tutarı</t>
        </is>
      </c>
      <c r="H52" t="inlineStr">
        <is>
          <t>İskonto Tutarı</t>
        </is>
      </c>
      <c r="I52" t="inlineStr">
        <is>
          <t>KDV Tutarı</t>
        </is>
      </c>
      <c r="J52" t="inlineStr">
        <is>
          <t>Tutar</t>
        </is>
      </c>
      <c r="K52" t="inlineStr">
        <is>
          <t>Döviz Fiyat</t>
        </is>
      </c>
      <c r="L52" t="inlineStr">
        <is>
          <t>Döviz Tutar</t>
        </is>
      </c>
      <c r="M52" t="inlineStr">
        <is>
          <t>Plasiyer Kodu</t>
        </is>
      </c>
    </row>
    <row r="53">
      <c r="B53" t="inlineStr">
        <is>
          <t>ATM027</t>
        </is>
      </c>
      <c r="C53" t="inlineStr">
        <is>
          <t>BOBAJOY TOPLARI MANGO 4KG KL/4AD (2.)</t>
        </is>
      </c>
      <c r="D53" t="inlineStr">
        <is>
          <t>1-AD</t>
        </is>
      </c>
      <c r="E53" s="1" t="n">
        <v>1800</v>
      </c>
      <c r="F53" s="1" t="n">
        <v>1800</v>
      </c>
      <c r="G53" s="1" t="n">
        <v>1800</v>
      </c>
      <c r="H53" t="n">
        <v>0</v>
      </c>
      <c r="I53" t="n">
        <v>180</v>
      </c>
      <c r="J53" s="1" t="n">
        <v>1980</v>
      </c>
      <c r="K53" t="n">
        <v>0</v>
      </c>
      <c r="L53" t="n">
        <v>0</v>
      </c>
      <c r="M53" t="inlineStr">
        <is>
          <t>MRK</t>
        </is>
      </c>
    </row>
    <row r="54">
      <c r="B54" t="inlineStr">
        <is>
          <t>ATM030</t>
        </is>
      </c>
      <c r="C54" t="inlineStr">
        <is>
          <t>BOBAJOY MEYVE SUYU TOPLARI YEŞİL ELMA 4KG KL/4AD (2.)</t>
        </is>
      </c>
      <c r="D54" t="inlineStr">
        <is>
          <t>1-AD</t>
        </is>
      </c>
      <c r="E54" s="1" t="n">
        <v>1800</v>
      </c>
      <c r="F54" s="1" t="n">
        <v>1800</v>
      </c>
      <c r="G54" s="1" t="n">
        <v>1800</v>
      </c>
      <c r="H54" t="n">
        <v>0</v>
      </c>
      <c r="I54" t="n">
        <v>180</v>
      </c>
      <c r="J54" s="1" t="n">
        <v>1980</v>
      </c>
      <c r="K54" t="n">
        <v>0</v>
      </c>
      <c r="L54" t="n">
        <v>0</v>
      </c>
      <c r="M54" t="inlineStr">
        <is>
          <t>MRK</t>
        </is>
      </c>
    </row>
    <row r="55">
      <c r="B55" t="inlineStr">
        <is>
          <t>ATM033</t>
        </is>
      </c>
      <c r="C55" t="inlineStr">
        <is>
          <t>BOBAJOY TOPLARI KARAMEL 4 KG KL/4AD (3.)</t>
        </is>
      </c>
      <c r="D55" t="inlineStr">
        <is>
          <t>1-AD</t>
        </is>
      </c>
      <c r="E55" s="1" t="n">
        <v>1800</v>
      </c>
      <c r="F55" s="1" t="n">
        <v>1800</v>
      </c>
      <c r="G55" s="1" t="n">
        <v>1800</v>
      </c>
      <c r="H55" t="n">
        <v>0</v>
      </c>
      <c r="I55" t="n">
        <v>180</v>
      </c>
      <c r="J55" s="1" t="n">
        <v>1980</v>
      </c>
      <c r="K55" t="n">
        <v>40</v>
      </c>
      <c r="L55" t="n">
        <v>40</v>
      </c>
      <c r="M55" t="inlineStr">
        <is>
          <t>MRK</t>
        </is>
      </c>
    </row>
    <row r="56">
      <c r="B56" t="inlineStr">
        <is>
          <t>ATM070</t>
        </is>
      </c>
      <c r="C56" t="inlineStr">
        <is>
          <t>TEAJOY HYPE &amp; JOY (HİBİSKUS) 2,5 KG KL/4AD</t>
        </is>
      </c>
      <c r="D56" t="inlineStr">
        <is>
          <t>2-AD</t>
        </is>
      </c>
      <c r="E56" t="n">
        <v>900</v>
      </c>
      <c r="F56" t="n">
        <v>900</v>
      </c>
      <c r="G56" s="1" t="n">
        <v>1800</v>
      </c>
      <c r="H56" t="n">
        <v>0</v>
      </c>
      <c r="I56" t="n">
        <v>180</v>
      </c>
      <c r="J56" s="1" t="n">
        <v>1980</v>
      </c>
      <c r="K56" t="n">
        <v>0</v>
      </c>
      <c r="L56" t="n">
        <v>0</v>
      </c>
      <c r="M56" t="inlineStr">
        <is>
          <t>MRK</t>
        </is>
      </c>
    </row>
    <row r="57">
      <c r="A57" s="2" t="n">
        <v>46150</v>
      </c>
      <c r="B57" t="inlineStr">
        <is>
          <t>A00000000250156</t>
        </is>
      </c>
      <c r="C57" t="inlineStr">
        <is>
          <t>FATURAMIZ</t>
        </is>
      </c>
      <c r="D57" s="2" t="n">
        <v>46240</v>
      </c>
      <c r="E57" s="1" t="n">
        <v>3960</v>
      </c>
      <c r="F57" t="n">
        <v>0</v>
      </c>
      <c r="G57" s="1" t="n">
        <v>19998</v>
      </c>
      <c r="H57" t="n">
        <v>0</v>
      </c>
      <c r="I57" t="inlineStr">
        <is>
          <t>MRK</t>
        </is>
      </c>
      <c r="N57" s="11" t="inlineStr"/>
    </row>
    <row r="58">
      <c r="B58" t="inlineStr">
        <is>
          <t>Stok Kodu</t>
        </is>
      </c>
      <c r="C58" t="inlineStr">
        <is>
          <t>Stok Adı</t>
        </is>
      </c>
      <c r="D58" t="inlineStr">
        <is>
          <t>Miktar</t>
        </is>
      </c>
      <c r="E58" t="inlineStr">
        <is>
          <t>Brüt Fiyat</t>
        </is>
      </c>
      <c r="F58" t="inlineStr">
        <is>
          <t>Net Fiyat</t>
        </is>
      </c>
      <c r="G58" t="inlineStr">
        <is>
          <t>Brüt Satış Tutarı</t>
        </is>
      </c>
      <c r="H58" t="inlineStr">
        <is>
          <t>İskonto Tutarı</t>
        </is>
      </c>
      <c r="I58" t="inlineStr">
        <is>
          <t>KDV Tutarı</t>
        </is>
      </c>
      <c r="J58" t="inlineStr">
        <is>
          <t>Tutar</t>
        </is>
      </c>
      <c r="K58" t="inlineStr">
        <is>
          <t>Döviz Fiyat</t>
        </is>
      </c>
      <c r="L58" t="inlineStr">
        <is>
          <t>Döviz Tutar</t>
        </is>
      </c>
      <c r="M58" t="inlineStr">
        <is>
          <t>Plasiyer Kodu</t>
        </is>
      </c>
    </row>
    <row r="59">
      <c r="B59" t="inlineStr">
        <is>
          <t>ATM038</t>
        </is>
      </c>
      <c r="C59" t="inlineStr">
        <is>
          <t>BOBAJOY MEYVE SUYU Y.MERSİNİ 4KG KL/4AD (3.)</t>
        </is>
      </c>
      <c r="D59" t="inlineStr">
        <is>
          <t>2-AD</t>
        </is>
      </c>
      <c r="E59" s="1" t="n">
        <v>1800</v>
      </c>
      <c r="F59" s="1" t="n">
        <v>1800</v>
      </c>
      <c r="G59" s="1" t="n">
        <v>3600</v>
      </c>
      <c r="H59" t="n">
        <v>0</v>
      </c>
      <c r="I59" t="n">
        <v>360</v>
      </c>
      <c r="J59" s="1" t="n">
        <v>3960</v>
      </c>
      <c r="K59" t="n">
        <v>0</v>
      </c>
      <c r="L59" t="n">
        <v>0</v>
      </c>
      <c r="M59" t="inlineStr">
        <is>
          <t>MRK</t>
        </is>
      </c>
    </row>
    <row r="60">
      <c r="A60" s="2" t="n">
        <v>46157</v>
      </c>
      <c r="B60" t="inlineStr">
        <is>
          <t>A00000000250895</t>
        </is>
      </c>
      <c r="C60" t="inlineStr">
        <is>
          <t>FATURAMIZ</t>
        </is>
      </c>
      <c r="D60" s="2" t="n">
        <v>46247</v>
      </c>
      <c r="E60" s="1" t="n">
        <v>5780.25</v>
      </c>
      <c r="F60" t="n">
        <v>0</v>
      </c>
      <c r="G60" s="1" t="n">
        <v>25778.25</v>
      </c>
      <c r="H60" t="n">
        <v>0</v>
      </c>
      <c r="I60" t="inlineStr">
        <is>
          <t>MRK</t>
        </is>
      </c>
      <c r="N60" s="11" t="inlineStr"/>
    </row>
    <row r="61">
      <c r="B61" t="inlineStr">
        <is>
          <t>Stok Kodu</t>
        </is>
      </c>
      <c r="C61" t="inlineStr">
        <is>
          <t>Stok Adı</t>
        </is>
      </c>
      <c r="D61" t="inlineStr">
        <is>
          <t>Miktar</t>
        </is>
      </c>
      <c r="E61" t="inlineStr">
        <is>
          <t>Brüt Fiyat</t>
        </is>
      </c>
      <c r="F61" t="inlineStr">
        <is>
          <t>Net Fiyat</t>
        </is>
      </c>
      <c r="G61" t="inlineStr">
        <is>
          <t>Brüt Satış Tutarı</t>
        </is>
      </c>
      <c r="H61" t="inlineStr">
        <is>
          <t>İskonto Tutarı</t>
        </is>
      </c>
      <c r="I61" t="inlineStr">
        <is>
          <t>KDV Tutarı</t>
        </is>
      </c>
      <c r="J61" t="inlineStr">
        <is>
          <t>Tutar</t>
        </is>
      </c>
      <c r="K61" t="inlineStr">
        <is>
          <t>Döviz Fiyat</t>
        </is>
      </c>
      <c r="L61" t="inlineStr">
        <is>
          <t>Döviz Tutar</t>
        </is>
      </c>
      <c r="M61" t="inlineStr">
        <is>
          <t>Plasiyer Kodu</t>
        </is>
      </c>
    </row>
    <row r="62">
      <c r="B62" t="inlineStr">
        <is>
          <t>MRS0010</t>
        </is>
      </c>
      <c r="C62" t="inlineStr">
        <is>
          <t>GUA BASKILI 22X11X28 KRAFT DÜZ SAP KL/300</t>
        </is>
      </c>
      <c r="D62" t="inlineStr">
        <is>
          <t>300-AD</t>
        </is>
      </c>
      <c r="E62" t="n">
        <v>18.35</v>
      </c>
      <c r="F62" t="n">
        <v>18.35</v>
      </c>
      <c r="G62" s="1" t="n">
        <v>5505</v>
      </c>
      <c r="H62" t="n">
        <v>0</v>
      </c>
      <c r="I62" t="n">
        <v>275.25</v>
      </c>
      <c r="J62" s="1" t="n">
        <v>5780.25</v>
      </c>
      <c r="K62" t="n">
        <v>0</v>
      </c>
      <c r="L62" t="n">
        <v>0</v>
      </c>
      <c r="M62" t="inlineStr">
        <is>
          <t>MRK</t>
        </is>
      </c>
    </row>
    <row r="63">
      <c r="A63" s="2" t="n">
        <v>46162</v>
      </c>
      <c r="B63" t="inlineStr">
        <is>
          <t>A00000000251139</t>
        </is>
      </c>
      <c r="C63" t="inlineStr">
        <is>
          <t>FATURAMIZ</t>
        </is>
      </c>
      <c r="D63" s="2" t="n">
        <v>46252</v>
      </c>
      <c r="E63" s="1" t="n">
        <v>8910</v>
      </c>
      <c r="F63" t="n">
        <v>0</v>
      </c>
      <c r="G63" s="1" t="n">
        <v>34688.25</v>
      </c>
      <c r="H63" t="n">
        <v>0</v>
      </c>
      <c r="I63" t="inlineStr">
        <is>
          <t>MRK</t>
        </is>
      </c>
      <c r="N63" s="11" t="inlineStr"/>
    </row>
    <row r="64">
      <c r="B64" t="inlineStr">
        <is>
          <t>Stok Kodu</t>
        </is>
      </c>
      <c r="C64" t="inlineStr">
        <is>
          <t>Stok Adı</t>
        </is>
      </c>
      <c r="D64" t="inlineStr">
        <is>
          <t>Miktar</t>
        </is>
      </c>
      <c r="E64" t="inlineStr">
        <is>
          <t>Brüt Fiyat</t>
        </is>
      </c>
      <c r="F64" t="inlineStr">
        <is>
          <t>Net Fiyat</t>
        </is>
      </c>
      <c r="G64" t="inlineStr">
        <is>
          <t>Brüt Satış Tutarı</t>
        </is>
      </c>
      <c r="H64" t="inlineStr">
        <is>
          <t>İskonto Tutarı</t>
        </is>
      </c>
      <c r="I64" t="inlineStr">
        <is>
          <t>KDV Tutarı</t>
        </is>
      </c>
      <c r="J64" t="inlineStr">
        <is>
          <t>Tutar</t>
        </is>
      </c>
      <c r="K64" t="inlineStr">
        <is>
          <t>Döviz Fiyat</t>
        </is>
      </c>
      <c r="L64" t="inlineStr">
        <is>
          <t>Döviz Tutar</t>
        </is>
      </c>
      <c r="M64" t="inlineStr">
        <is>
          <t>Plasiyer Kodu</t>
        </is>
      </c>
    </row>
    <row r="65">
      <c r="B65" t="inlineStr">
        <is>
          <t>ATM033</t>
        </is>
      </c>
      <c r="C65" t="inlineStr">
        <is>
          <t>BOBAJOY TOPLARI KARAMEL 4 KG KL/4AD (3.)</t>
        </is>
      </c>
      <c r="D65" t="inlineStr">
        <is>
          <t>1-AD</t>
        </is>
      </c>
      <c r="E65" s="1" t="n">
        <v>1800</v>
      </c>
      <c r="F65" s="1" t="n">
        <v>1800</v>
      </c>
      <c r="G65" s="1" t="n">
        <v>1800</v>
      </c>
      <c r="H65" t="n">
        <v>0</v>
      </c>
      <c r="I65" t="n">
        <v>180</v>
      </c>
      <c r="J65" s="1" t="n">
        <v>1980</v>
      </c>
      <c r="K65" t="n">
        <v>39.13043</v>
      </c>
      <c r="L65" t="n">
        <v>39.13</v>
      </c>
      <c r="M65" t="inlineStr">
        <is>
          <t>MRK</t>
        </is>
      </c>
    </row>
    <row r="66">
      <c r="B66" t="inlineStr">
        <is>
          <t>ATM017</t>
        </is>
      </c>
      <c r="C66" t="inlineStr">
        <is>
          <t>BOBAJOY MEYVE TOPLARI ÇİLEK 4KG KL/4AD (2.)</t>
        </is>
      </c>
      <c r="D66" t="inlineStr">
        <is>
          <t>1-AD</t>
        </is>
      </c>
      <c r="E66" s="1" t="n">
        <v>1800</v>
      </c>
      <c r="F66" s="1" t="n">
        <v>1800</v>
      </c>
      <c r="G66" s="1" t="n">
        <v>1800</v>
      </c>
      <c r="H66" t="n">
        <v>0</v>
      </c>
      <c r="I66" t="n">
        <v>180</v>
      </c>
      <c r="J66" s="1" t="n">
        <v>1980</v>
      </c>
      <c r="K66" t="n">
        <v>0</v>
      </c>
      <c r="L66" t="n">
        <v>0</v>
      </c>
      <c r="M66" t="inlineStr">
        <is>
          <t>MRK</t>
        </is>
      </c>
    </row>
    <row r="67">
      <c r="B67" t="inlineStr">
        <is>
          <t>ATM027</t>
        </is>
      </c>
      <c r="C67" t="inlineStr">
        <is>
          <t>BOBAJOY TOPLARI MANGO 4KG KL/4AD (2.)</t>
        </is>
      </c>
      <c r="D67" t="inlineStr">
        <is>
          <t>1-AD</t>
        </is>
      </c>
      <c r="E67" s="1" t="n">
        <v>1800</v>
      </c>
      <c r="F67" s="1" t="n">
        <v>1800</v>
      </c>
      <c r="G67" s="1" t="n">
        <v>1800</v>
      </c>
      <c r="H67" t="n">
        <v>0</v>
      </c>
      <c r="I67" t="n">
        <v>180</v>
      </c>
      <c r="J67" s="1" t="n">
        <v>1980</v>
      </c>
      <c r="K67" t="n">
        <v>0</v>
      </c>
      <c r="L67" t="n">
        <v>0</v>
      </c>
      <c r="M67" t="inlineStr">
        <is>
          <t>MRK</t>
        </is>
      </c>
    </row>
    <row r="68">
      <c r="B68" t="inlineStr">
        <is>
          <t>ATM070</t>
        </is>
      </c>
      <c r="C68" t="inlineStr">
        <is>
          <t>TEAJOY HYPE &amp; JOY (HİBİSKUS) 2,5 KG KL/4AD</t>
        </is>
      </c>
      <c r="D68" t="inlineStr">
        <is>
          <t>1-AD</t>
        </is>
      </c>
      <c r="E68" t="n">
        <v>900</v>
      </c>
      <c r="F68" t="n">
        <v>900</v>
      </c>
      <c r="G68" t="n">
        <v>900</v>
      </c>
      <c r="H68" t="n">
        <v>0</v>
      </c>
      <c r="I68" t="n">
        <v>90</v>
      </c>
      <c r="J68" t="n">
        <v>990</v>
      </c>
      <c r="K68" t="n">
        <v>0</v>
      </c>
      <c r="L68" t="n">
        <v>0</v>
      </c>
      <c r="M68" t="inlineStr">
        <is>
          <t>MRK</t>
        </is>
      </c>
    </row>
    <row r="69">
      <c r="B69" t="inlineStr">
        <is>
          <t>ATM041</t>
        </is>
      </c>
      <c r="C69" t="inlineStr">
        <is>
          <t>BOBAJOY MEYVE SUYU TOPLARI FRAMBUAZ 4 KG KL/4AD</t>
        </is>
      </c>
      <c r="D69" t="inlineStr">
        <is>
          <t>1-AD</t>
        </is>
      </c>
      <c r="E69" s="1" t="n">
        <v>1800</v>
      </c>
      <c r="F69" s="1" t="n">
        <v>1800</v>
      </c>
      <c r="G69" s="1" t="n">
        <v>1800</v>
      </c>
      <c r="H69" t="n">
        <v>0</v>
      </c>
      <c r="I69" t="n">
        <v>180</v>
      </c>
      <c r="J69" s="1" t="n">
        <v>1980</v>
      </c>
      <c r="K69" t="n">
        <v>0</v>
      </c>
      <c r="L69" t="n">
        <v>0</v>
      </c>
      <c r="M69" t="inlineStr">
        <is>
          <t>MRK</t>
        </is>
      </c>
    </row>
    <row r="70">
      <c r="A70" s="2" t="n">
        <v>46162</v>
      </c>
      <c r="B70" t="inlineStr">
        <is>
          <t>A00000000251140</t>
        </is>
      </c>
      <c r="C70" t="inlineStr">
        <is>
          <t>FATURAMIZ</t>
        </is>
      </c>
      <c r="D70" s="2" t="n">
        <v>46252</v>
      </c>
      <c r="E70" s="1" t="n">
        <v>1980</v>
      </c>
      <c r="F70" t="n">
        <v>0</v>
      </c>
      <c r="G70" s="1" t="n">
        <v>36668.25</v>
      </c>
      <c r="H70" t="n">
        <v>0</v>
      </c>
      <c r="I70" t="inlineStr">
        <is>
          <t>MRK</t>
        </is>
      </c>
      <c r="N70" s="11" t="inlineStr"/>
    </row>
    <row r="71">
      <c r="B71" t="inlineStr">
        <is>
          <t>Stok Kodu</t>
        </is>
      </c>
      <c r="C71" t="inlineStr">
        <is>
          <t>Stok Adı</t>
        </is>
      </c>
      <c r="D71" t="inlineStr">
        <is>
          <t>Miktar</t>
        </is>
      </c>
      <c r="E71" t="inlineStr">
        <is>
          <t>Brüt Fiyat</t>
        </is>
      </c>
      <c r="F71" t="inlineStr">
        <is>
          <t>Net Fiyat</t>
        </is>
      </c>
      <c r="G71" t="inlineStr">
        <is>
          <t>Brüt Satış Tutarı</t>
        </is>
      </c>
      <c r="H71" t="inlineStr">
        <is>
          <t>İskonto Tutarı</t>
        </is>
      </c>
      <c r="I71" t="inlineStr">
        <is>
          <t>KDV Tutarı</t>
        </is>
      </c>
      <c r="J71" t="inlineStr">
        <is>
          <t>Tutar</t>
        </is>
      </c>
      <c r="K71" t="inlineStr">
        <is>
          <t>Döviz Fiyat</t>
        </is>
      </c>
      <c r="L71" t="inlineStr">
        <is>
          <t>Döviz Tutar</t>
        </is>
      </c>
      <c r="M71" t="inlineStr">
        <is>
          <t>Plasiyer Kodu</t>
        </is>
      </c>
    </row>
    <row r="72">
      <c r="B72" t="inlineStr">
        <is>
          <t>ATM074</t>
        </is>
      </c>
      <c r="C72" t="inlineStr">
        <is>
          <t>TEAJOY MR.ORGO (MANGO&amp;PRTKL) 2,5 KG KL/4AD</t>
        </is>
      </c>
      <c r="D72" t="inlineStr">
        <is>
          <t>1-AD</t>
        </is>
      </c>
      <c r="E72" t="n">
        <v>900</v>
      </c>
      <c r="F72" t="n">
        <v>900</v>
      </c>
      <c r="G72" t="n">
        <v>900</v>
      </c>
      <c r="H72" t="n">
        <v>0</v>
      </c>
      <c r="I72" t="n">
        <v>90</v>
      </c>
      <c r="J72" t="n">
        <v>990</v>
      </c>
      <c r="K72" t="n">
        <v>0</v>
      </c>
      <c r="L72" t="n">
        <v>0</v>
      </c>
      <c r="M72" t="inlineStr">
        <is>
          <t>MRK</t>
        </is>
      </c>
    </row>
    <row r="73">
      <c r="B73" t="inlineStr">
        <is>
          <t>ATM070</t>
        </is>
      </c>
      <c r="C73" t="inlineStr">
        <is>
          <t>TEAJOY HYPE &amp; JOY (HİBİSKUS) 2,5 KG KL/4AD</t>
        </is>
      </c>
      <c r="D73" t="inlineStr">
        <is>
          <t>1-AD</t>
        </is>
      </c>
      <c r="E73" t="n">
        <v>900</v>
      </c>
      <c r="F73" t="n">
        <v>900</v>
      </c>
      <c r="G73" t="n">
        <v>900</v>
      </c>
      <c r="H73" t="n">
        <v>0</v>
      </c>
      <c r="I73" t="n">
        <v>90</v>
      </c>
      <c r="J73" t="n">
        <v>990</v>
      </c>
      <c r="K73" t="n">
        <v>0</v>
      </c>
      <c r="L73" t="n">
        <v>0</v>
      </c>
      <c r="M73" t="inlineStr">
        <is>
          <t>MRK</t>
        </is>
      </c>
    </row>
    <row r="74">
      <c r="A74" s="2" t="n">
        <v>46185</v>
      </c>
      <c r="B74" t="inlineStr">
        <is>
          <t>A00000000252956</t>
        </is>
      </c>
      <c r="C74" t="inlineStr">
        <is>
          <t>FATURAMIZ</t>
        </is>
      </c>
      <c r="D74" s="2" t="n">
        <v>46275</v>
      </c>
      <c r="E74" s="1" t="n">
        <v>1980</v>
      </c>
      <c r="F74" t="n">
        <v>0</v>
      </c>
      <c r="G74" s="1" t="n">
        <v>38648.25</v>
      </c>
      <c r="H74" t="n">
        <v>0</v>
      </c>
      <c r="I74" t="inlineStr">
        <is>
          <t>MRK</t>
        </is>
      </c>
      <c r="N74" s="11" t="inlineStr"/>
    </row>
    <row r="75">
      <c r="B75" t="inlineStr">
        <is>
          <t>Stok Kodu</t>
        </is>
      </c>
      <c r="C75" t="inlineStr">
        <is>
          <t>Stok Adı</t>
        </is>
      </c>
      <c r="D75" t="inlineStr">
        <is>
          <t>Miktar</t>
        </is>
      </c>
      <c r="E75" t="inlineStr">
        <is>
          <t>Brüt Fiyat</t>
        </is>
      </c>
      <c r="F75" t="inlineStr">
        <is>
          <t>Net Fiyat</t>
        </is>
      </c>
      <c r="G75" t="inlineStr">
        <is>
          <t>Brüt Satış Tutarı</t>
        </is>
      </c>
      <c r="H75" t="inlineStr">
        <is>
          <t>İskonto Tutarı</t>
        </is>
      </c>
      <c r="I75" t="inlineStr">
        <is>
          <t>KDV Tutarı</t>
        </is>
      </c>
      <c r="J75" t="inlineStr">
        <is>
          <t>Tutar</t>
        </is>
      </c>
      <c r="K75" t="inlineStr">
        <is>
          <t>Döviz Fiyat</t>
        </is>
      </c>
      <c r="L75" t="inlineStr">
        <is>
          <t>Döviz Tutar</t>
        </is>
      </c>
      <c r="M75" t="inlineStr">
        <is>
          <t>Plasiyer Kodu</t>
        </is>
      </c>
    </row>
    <row r="76">
      <c r="B76" t="inlineStr">
        <is>
          <t>ATM038</t>
        </is>
      </c>
      <c r="C76" t="inlineStr">
        <is>
          <t>BOBAJOY MEYVE SUYU Y.MERSİNİ 4KG KL/4AD (3.)</t>
        </is>
      </c>
      <c r="D76" t="inlineStr">
        <is>
          <t>1-AD</t>
        </is>
      </c>
      <c r="E76" s="1" t="n">
        <v>1800</v>
      </c>
      <c r="F76" s="1" t="n">
        <v>1800</v>
      </c>
      <c r="G76" s="1" t="n">
        <v>1800</v>
      </c>
      <c r="H76" t="n">
        <v>0</v>
      </c>
      <c r="I76" t="n">
        <v>180</v>
      </c>
      <c r="J76" s="1" t="n">
        <v>1980</v>
      </c>
      <c r="K76" t="n">
        <v>0</v>
      </c>
      <c r="L76" t="n">
        <v>0</v>
      </c>
      <c r="M76" t="inlineStr">
        <is>
          <t>MRK</t>
        </is>
      </c>
    </row>
    <row r="77">
      <c r="A77" s="2" t="n">
        <v>46196</v>
      </c>
      <c r="B77" t="inlineStr">
        <is>
          <t>A00000000253718</t>
        </is>
      </c>
      <c r="C77" t="inlineStr">
        <is>
          <t>FATURAMIZ</t>
        </is>
      </c>
      <c r="D77" s="2" t="n">
        <v>46286</v>
      </c>
      <c r="E77" s="1" t="n">
        <v>9900</v>
      </c>
      <c r="F77" t="n">
        <v>0</v>
      </c>
      <c r="G77" s="1" t="n">
        <v>48548.25</v>
      </c>
      <c r="H77" t="n">
        <v>0</v>
      </c>
      <c r="I77" t="inlineStr">
        <is>
          <t>MRK</t>
        </is>
      </c>
      <c r="N77" s="11" t="inlineStr"/>
    </row>
    <row r="78">
      <c r="B78" t="inlineStr">
        <is>
          <t>Stok Kodu</t>
        </is>
      </c>
      <c r="C78" t="inlineStr">
        <is>
          <t>Stok Adı</t>
        </is>
      </c>
      <c r="D78" t="inlineStr">
        <is>
          <t>Miktar</t>
        </is>
      </c>
      <c r="E78" t="inlineStr">
        <is>
          <t>Brüt Fiyat</t>
        </is>
      </c>
      <c r="F78" t="inlineStr">
        <is>
          <t>Net Fiyat</t>
        </is>
      </c>
      <c r="G78" t="inlineStr">
        <is>
          <t>Brüt Satış Tutarı</t>
        </is>
      </c>
      <c r="H78" t="inlineStr">
        <is>
          <t>İskonto Tutarı</t>
        </is>
      </c>
      <c r="I78" t="inlineStr">
        <is>
          <t>KDV Tutarı</t>
        </is>
      </c>
      <c r="J78" t="inlineStr">
        <is>
          <t>Tutar</t>
        </is>
      </c>
      <c r="K78" t="inlineStr">
        <is>
          <t>Döviz Fiyat</t>
        </is>
      </c>
      <c r="L78" t="inlineStr">
        <is>
          <t>Döviz Tutar</t>
        </is>
      </c>
      <c r="M78" t="inlineStr">
        <is>
          <t>Plasiyer Kodu</t>
        </is>
      </c>
    </row>
    <row r="79">
      <c r="B79" t="inlineStr">
        <is>
          <t>ATM017</t>
        </is>
      </c>
      <c r="C79" t="inlineStr">
        <is>
          <t>BOBAJOY MEYVE TOPLARI ÇİLEK 4KG KL/4AD (2.)</t>
        </is>
      </c>
      <c r="D79" t="inlineStr">
        <is>
          <t>1-AD</t>
        </is>
      </c>
      <c r="E79" s="1" t="n">
        <v>1800</v>
      </c>
      <c r="F79" s="1" t="n">
        <v>1800</v>
      </c>
      <c r="G79" s="1" t="n">
        <v>1800</v>
      </c>
      <c r="H79" t="n">
        <v>0</v>
      </c>
      <c r="I79" t="n">
        <v>180</v>
      </c>
      <c r="J79" s="1" t="n">
        <v>1980</v>
      </c>
      <c r="K79" t="n">
        <v>0</v>
      </c>
      <c r="L79" t="n">
        <v>0</v>
      </c>
      <c r="M79" t="inlineStr">
        <is>
          <t>MRK</t>
        </is>
      </c>
    </row>
    <row r="80">
      <c r="B80" t="inlineStr">
        <is>
          <t>ATM033</t>
        </is>
      </c>
      <c r="C80" t="inlineStr">
        <is>
          <t>BOBAJOY TOPLARI KARAMEL 4 KG KL/4AD (3.)</t>
        </is>
      </c>
      <c r="D80" t="inlineStr">
        <is>
          <t>1-AD</t>
        </is>
      </c>
      <c r="E80" s="1" t="n">
        <v>1800</v>
      </c>
      <c r="F80" s="1" t="n">
        <v>1800</v>
      </c>
      <c r="G80" s="1" t="n">
        <v>1800</v>
      </c>
      <c r="H80" t="n">
        <v>0</v>
      </c>
      <c r="I80" t="n">
        <v>180</v>
      </c>
      <c r="J80" s="1" t="n">
        <v>1980</v>
      </c>
      <c r="K80" t="n">
        <v>38.29787</v>
      </c>
      <c r="L80" t="n">
        <v>38.3</v>
      </c>
      <c r="M80" t="inlineStr">
        <is>
          <t>MRK</t>
        </is>
      </c>
    </row>
    <row r="81">
      <c r="B81" t="inlineStr">
        <is>
          <t>ATM038</t>
        </is>
      </c>
      <c r="C81" t="inlineStr">
        <is>
          <t>BOBAJOY MEYVE SUYU Y.MERSİNİ 4KG KL/4AD (3.)</t>
        </is>
      </c>
      <c r="D81" t="inlineStr">
        <is>
          <t>1-AD</t>
        </is>
      </c>
      <c r="E81" s="1" t="n">
        <v>1800</v>
      </c>
      <c r="F81" s="1" t="n">
        <v>1800</v>
      </c>
      <c r="G81" s="1" t="n">
        <v>1800</v>
      </c>
      <c r="H81" t="n">
        <v>0</v>
      </c>
      <c r="I81" t="n">
        <v>180</v>
      </c>
      <c r="J81" s="1" t="n">
        <v>1980</v>
      </c>
      <c r="K81" t="n">
        <v>0</v>
      </c>
      <c r="L81" t="n">
        <v>0</v>
      </c>
      <c r="M81" t="inlineStr">
        <is>
          <t>MRK</t>
        </is>
      </c>
    </row>
    <row r="82">
      <c r="B82" t="inlineStr">
        <is>
          <t>ATM027</t>
        </is>
      </c>
      <c r="C82" t="inlineStr">
        <is>
          <t>BOBAJOY TOPLARI MANGO 4KG KL/4AD (2.)</t>
        </is>
      </c>
      <c r="D82" t="inlineStr">
        <is>
          <t>1-AD</t>
        </is>
      </c>
      <c r="E82" s="1" t="n">
        <v>1800</v>
      </c>
      <c r="F82" s="1" t="n">
        <v>1800</v>
      </c>
      <c r="G82" s="1" t="n">
        <v>1800</v>
      </c>
      <c r="H82" t="n">
        <v>0</v>
      </c>
      <c r="I82" t="n">
        <v>180</v>
      </c>
      <c r="J82" s="1" t="n">
        <v>1980</v>
      </c>
      <c r="K82" t="n">
        <v>0</v>
      </c>
      <c r="L82" t="n">
        <v>0</v>
      </c>
      <c r="M82" t="inlineStr">
        <is>
          <t>MRK</t>
        </is>
      </c>
    </row>
    <row r="83">
      <c r="B83" t="inlineStr">
        <is>
          <t>ATM070</t>
        </is>
      </c>
      <c r="C83" t="inlineStr">
        <is>
          <t>TEAJOY HYPE &amp; JOY (HİBİSKUS) 2,5 KG KL/4AD</t>
        </is>
      </c>
      <c r="D83" t="inlineStr">
        <is>
          <t>2-AD</t>
        </is>
      </c>
      <c r="E83" t="n">
        <v>900</v>
      </c>
      <c r="F83" t="n">
        <v>900</v>
      </c>
      <c r="G83" s="1" t="n">
        <v>1800</v>
      </c>
      <c r="H83" t="n">
        <v>0</v>
      </c>
      <c r="I83" t="n">
        <v>180</v>
      </c>
      <c r="J83" s="1" t="n">
        <v>1980</v>
      </c>
      <c r="K83" t="n">
        <v>0</v>
      </c>
      <c r="L83" t="n">
        <v>0</v>
      </c>
      <c r="M83" t="inlineStr">
        <is>
          <t>MRK</t>
        </is>
      </c>
    </row>
    <row r="84">
      <c r="A84" s="2" t="n">
        <v>46199</v>
      </c>
      <c r="B84" t="inlineStr">
        <is>
          <t>A00000000254148</t>
        </is>
      </c>
      <c r="C84" t="inlineStr">
        <is>
          <t>FATURAMIZ</t>
        </is>
      </c>
      <c r="D84" s="2" t="n">
        <v>46289</v>
      </c>
      <c r="E84" s="1" t="n">
        <v>1980</v>
      </c>
      <c r="F84" t="n">
        <v>0</v>
      </c>
      <c r="G84" s="1" t="n">
        <v>50528.25</v>
      </c>
      <c r="H84" t="n">
        <v>0</v>
      </c>
      <c r="I84" t="inlineStr">
        <is>
          <t>MRK</t>
        </is>
      </c>
      <c r="N84" s="11" t="inlineStr"/>
    </row>
    <row r="85">
      <c r="B85" t="inlineStr">
        <is>
          <t>Stok Kodu</t>
        </is>
      </c>
      <c r="C85" t="inlineStr">
        <is>
          <t>Stok Adı</t>
        </is>
      </c>
      <c r="D85" t="inlineStr">
        <is>
          <t>Miktar</t>
        </is>
      </c>
      <c r="E85" t="inlineStr">
        <is>
          <t>Brüt Fiyat</t>
        </is>
      </c>
      <c r="F85" t="inlineStr">
        <is>
          <t>Net Fiyat</t>
        </is>
      </c>
      <c r="G85" t="inlineStr">
        <is>
          <t>Brüt Satış Tutarı</t>
        </is>
      </c>
      <c r="H85" t="inlineStr">
        <is>
          <t>İskonto Tutarı</t>
        </is>
      </c>
      <c r="I85" t="inlineStr">
        <is>
          <t>KDV Tutarı</t>
        </is>
      </c>
      <c r="J85" t="inlineStr">
        <is>
          <t>Tutar</t>
        </is>
      </c>
      <c r="K85" t="inlineStr">
        <is>
          <t>Döviz Fiyat</t>
        </is>
      </c>
      <c r="L85" t="inlineStr">
        <is>
          <t>Döviz Tutar</t>
        </is>
      </c>
      <c r="M85" t="inlineStr">
        <is>
          <t>Plasiyer Kodu</t>
        </is>
      </c>
    </row>
    <row r="86">
      <c r="B86" t="inlineStr">
        <is>
          <t>ATM070</t>
        </is>
      </c>
      <c r="C86" t="inlineStr">
        <is>
          <t>TEAJOY HYPE &amp; JOY (HİBİSKUS) 2,5 KG KL/4AD</t>
        </is>
      </c>
      <c r="D86" t="inlineStr">
        <is>
          <t>2-AD</t>
        </is>
      </c>
      <c r="E86" t="n">
        <v>900</v>
      </c>
      <c r="F86" t="n">
        <v>900</v>
      </c>
      <c r="G86" s="1" t="n">
        <v>1800</v>
      </c>
      <c r="H86" t="n">
        <v>0</v>
      </c>
      <c r="I86" t="n">
        <v>180</v>
      </c>
      <c r="J86" s="1" t="n">
        <v>1980</v>
      </c>
      <c r="K86" t="n">
        <v>0</v>
      </c>
      <c r="L86" t="n">
        <v>0</v>
      </c>
      <c r="M86" t="inlineStr">
        <is>
          <t>MRK</t>
        </is>
      </c>
    </row>
    <row r="87">
      <c r="A87" s="2" t="n">
        <v>46207</v>
      </c>
      <c r="B87" t="inlineStr">
        <is>
          <t>A00000000254821</t>
        </is>
      </c>
      <c r="C87" t="inlineStr">
        <is>
          <t>FATURAMIZ</t>
        </is>
      </c>
      <c r="D87" s="2" t="n">
        <v>46297</v>
      </c>
      <c r="E87" s="1" t="n">
        <v>19469.6</v>
      </c>
      <c r="F87" t="n">
        <v>0</v>
      </c>
      <c r="G87" s="1" t="n">
        <v>69997.85000000001</v>
      </c>
      <c r="H87" t="n">
        <v>0</v>
      </c>
      <c r="I87" t="inlineStr">
        <is>
          <t>MRK</t>
        </is>
      </c>
      <c r="N87" s="11" t="inlineStr"/>
    </row>
    <row r="88">
      <c r="B88" t="inlineStr">
        <is>
          <t>Stok Kodu</t>
        </is>
      </c>
      <c r="C88" t="inlineStr">
        <is>
          <t>Stok Adı</t>
        </is>
      </c>
      <c r="D88" t="inlineStr">
        <is>
          <t>Miktar</t>
        </is>
      </c>
      <c r="E88" t="inlineStr">
        <is>
          <t>Brüt Fiyat</t>
        </is>
      </c>
      <c r="F88" t="inlineStr">
        <is>
          <t>Net Fiyat</t>
        </is>
      </c>
      <c r="G88" t="inlineStr">
        <is>
          <t>Brüt Satış Tutarı</t>
        </is>
      </c>
      <c r="H88" t="inlineStr">
        <is>
          <t>İskonto Tutarı</t>
        </is>
      </c>
      <c r="I88" t="inlineStr">
        <is>
          <t>KDV Tutarı</t>
        </is>
      </c>
      <c r="J88" t="inlineStr">
        <is>
          <t>Tutar</t>
        </is>
      </c>
      <c r="K88" t="inlineStr">
        <is>
          <t>Döviz Fiyat</t>
        </is>
      </c>
      <c r="L88" t="inlineStr">
        <is>
          <t>Döviz Tutar</t>
        </is>
      </c>
      <c r="M88" t="inlineStr">
        <is>
          <t>Plasiyer Kodu</t>
        </is>
      </c>
    </row>
    <row r="89">
      <c r="B89" t="inlineStr">
        <is>
          <t>ATM030</t>
        </is>
      </c>
      <c r="C89" t="inlineStr">
        <is>
          <t>BOBAJOY MEYVE SUYU TOPLARI YEŞİL ELMA 4KG KL/4AD (2.)</t>
        </is>
      </c>
      <c r="D89" t="inlineStr">
        <is>
          <t>1-AD</t>
        </is>
      </c>
      <c r="E89" s="1" t="n">
        <v>1800</v>
      </c>
      <c r="F89" s="1" t="n">
        <v>1800</v>
      </c>
      <c r="G89" s="1" t="n">
        <v>1800</v>
      </c>
      <c r="H89" t="n">
        <v>0</v>
      </c>
      <c r="I89" t="n">
        <v>180</v>
      </c>
      <c r="J89" s="1" t="n">
        <v>1980</v>
      </c>
      <c r="K89" t="n">
        <v>0</v>
      </c>
      <c r="L89" t="n">
        <v>0</v>
      </c>
      <c r="M89" t="inlineStr">
        <is>
          <t>MRK</t>
        </is>
      </c>
    </row>
    <row r="90">
      <c r="B90" t="inlineStr">
        <is>
          <t>ATM027</t>
        </is>
      </c>
      <c r="C90" t="inlineStr">
        <is>
          <t>BOBAJOY TOPLARI MANGO 4KG KL/4AD (2.)</t>
        </is>
      </c>
      <c r="D90" t="inlineStr">
        <is>
          <t>1-AD</t>
        </is>
      </c>
      <c r="E90" s="1" t="n">
        <v>1800</v>
      </c>
      <c r="F90" s="1" t="n">
        <v>1800</v>
      </c>
      <c r="G90" s="1" t="n">
        <v>1800</v>
      </c>
      <c r="H90" t="n">
        <v>0</v>
      </c>
      <c r="I90" t="n">
        <v>180</v>
      </c>
      <c r="J90" s="1" t="n">
        <v>1980</v>
      </c>
      <c r="K90" t="n">
        <v>0</v>
      </c>
      <c r="L90" t="n">
        <v>0</v>
      </c>
      <c r="M90" t="inlineStr">
        <is>
          <t>MRK</t>
        </is>
      </c>
    </row>
    <row r="91">
      <c r="B91" t="inlineStr">
        <is>
          <t>ATM038</t>
        </is>
      </c>
      <c r="C91" t="inlineStr">
        <is>
          <t>BOBAJOY MEYVE SUYU Y.MERSİNİ 4KG KL/4AD (3.)</t>
        </is>
      </c>
      <c r="D91" t="inlineStr">
        <is>
          <t>1-AD</t>
        </is>
      </c>
      <c r="E91" s="1" t="n">
        <v>1800</v>
      </c>
      <c r="F91" s="1" t="n">
        <v>1800</v>
      </c>
      <c r="G91" s="1" t="n">
        <v>1800</v>
      </c>
      <c r="H91" t="n">
        <v>0</v>
      </c>
      <c r="I91" t="n">
        <v>180</v>
      </c>
      <c r="J91" s="1" t="n">
        <v>1980</v>
      </c>
      <c r="K91" t="n">
        <v>0</v>
      </c>
      <c r="L91" t="n">
        <v>0</v>
      </c>
      <c r="M91" t="inlineStr">
        <is>
          <t>MRK</t>
        </is>
      </c>
    </row>
    <row r="92">
      <c r="B92" t="inlineStr">
        <is>
          <t>ATM070</t>
        </is>
      </c>
      <c r="C92" t="inlineStr">
        <is>
          <t>TEAJOY HYPE &amp; JOY (HİBİSKUS) 2,5 KG KL/4AD</t>
        </is>
      </c>
      <c r="D92" t="inlineStr">
        <is>
          <t>1-AD</t>
        </is>
      </c>
      <c r="E92" t="n">
        <v>900</v>
      </c>
      <c r="F92" t="n">
        <v>900</v>
      </c>
      <c r="G92" t="n">
        <v>900</v>
      </c>
      <c r="H92" t="n">
        <v>0</v>
      </c>
      <c r="I92" t="n">
        <v>90</v>
      </c>
      <c r="J92" t="n">
        <v>990</v>
      </c>
      <c r="K92" t="n">
        <v>0</v>
      </c>
      <c r="L92" t="n">
        <v>0</v>
      </c>
      <c r="M92" t="inlineStr">
        <is>
          <t>MRK</t>
        </is>
      </c>
    </row>
    <row r="93">
      <c r="B93" t="inlineStr">
        <is>
          <t>PTS030</t>
        </is>
      </c>
      <c r="C93" t="inlineStr">
        <is>
          <t>BİO PİPET BEYAZ 7X22  PK/250AD KL/20 PK</t>
        </is>
      </c>
      <c r="D93" t="inlineStr">
        <is>
          <t>40-PK</t>
        </is>
      </c>
      <c r="E93" t="n">
        <v>270.25</v>
      </c>
      <c r="F93" t="n">
        <v>270.25</v>
      </c>
      <c r="G93" s="1" t="n">
        <v>10810</v>
      </c>
      <c r="H93" t="n">
        <v>0</v>
      </c>
      <c r="I93" s="1" t="n">
        <v>1729.6</v>
      </c>
      <c r="J93" s="1" t="n">
        <v>12539.6</v>
      </c>
      <c r="K93" t="n">
        <v>5.75</v>
      </c>
      <c r="L93" t="n">
        <v>230</v>
      </c>
      <c r="M93" t="inlineStr">
        <is>
          <t>MRK</t>
        </is>
      </c>
    </row>
    <row r="94">
      <c r="A94" s="2" t="n">
        <v>46210</v>
      </c>
      <c r="B94" t="inlineStr">
        <is>
          <t>A00000000254951</t>
        </is>
      </c>
      <c r="C94" t="inlineStr">
        <is>
          <t>FATURAMIZ</t>
        </is>
      </c>
      <c r="D94" s="2" t="n">
        <v>46300</v>
      </c>
      <c r="E94" s="1" t="n">
        <v>12992</v>
      </c>
      <c r="F94" t="n">
        <v>0</v>
      </c>
      <c r="G94" s="1" t="n">
        <v>82989.85000000001</v>
      </c>
      <c r="H94" t="n">
        <v>0</v>
      </c>
      <c r="I94" t="inlineStr">
        <is>
          <t>MRK</t>
        </is>
      </c>
      <c r="N94" s="11" t="inlineStr"/>
    </row>
    <row r="95">
      <c r="B95" t="inlineStr">
        <is>
          <t>Stok Kodu</t>
        </is>
      </c>
      <c r="C95" t="inlineStr">
        <is>
          <t>Stok Adı</t>
        </is>
      </c>
      <c r="D95" t="inlineStr">
        <is>
          <t>Miktar</t>
        </is>
      </c>
      <c r="E95" t="inlineStr">
        <is>
          <t>Brüt Fiyat</t>
        </is>
      </c>
      <c r="F95" t="inlineStr">
        <is>
          <t>Net Fiyat</t>
        </is>
      </c>
      <c r="G95" t="inlineStr">
        <is>
          <t>Brüt Satış Tutarı</t>
        </is>
      </c>
      <c r="H95" t="inlineStr">
        <is>
          <t>İskonto Tutarı</t>
        </is>
      </c>
      <c r="I95" t="inlineStr">
        <is>
          <t>KDV Tutarı</t>
        </is>
      </c>
      <c r="J95" t="inlineStr">
        <is>
          <t>Tutar</t>
        </is>
      </c>
      <c r="K95" t="inlineStr">
        <is>
          <t>Döviz Fiyat</t>
        </is>
      </c>
      <c r="L95" t="inlineStr">
        <is>
          <t>Döviz Tutar</t>
        </is>
      </c>
      <c r="M95" t="inlineStr">
        <is>
          <t>Plasiyer Kodu</t>
        </is>
      </c>
    </row>
    <row r="96">
      <c r="B96" t="inlineStr">
        <is>
          <t>PTS038</t>
        </is>
      </c>
      <c r="C96" t="inlineStr">
        <is>
          <t>BİO PİPET BEYAZ 8X24 SARGILI PK/250AD KL/20</t>
        </is>
      </c>
      <c r="D96" t="inlineStr">
        <is>
          <t>40-PK</t>
        </is>
      </c>
      <c r="E96" t="n">
        <v>280</v>
      </c>
      <c r="F96" t="n">
        <v>280</v>
      </c>
      <c r="G96" s="1" t="n">
        <v>11200</v>
      </c>
      <c r="H96" t="n">
        <v>0</v>
      </c>
      <c r="I96" s="1" t="n">
        <v>1792</v>
      </c>
      <c r="J96" s="1" t="n">
        <v>12992</v>
      </c>
      <c r="K96" t="n">
        <v>5.95745</v>
      </c>
      <c r="L96" t="n">
        <v>238.3</v>
      </c>
      <c r="M96" t="inlineStr">
        <is>
          <t>MRK</t>
        </is>
      </c>
    </row>
    <row r="97">
      <c r="A97" s="2" t="n">
        <v>46217</v>
      </c>
      <c r="B97" t="inlineStr">
        <is>
          <t>I00000000255472</t>
        </is>
      </c>
      <c r="C97" t="inlineStr">
        <is>
          <t>IADE FATURANIZ</t>
        </is>
      </c>
      <c r="D97" s="2" t="n">
        <v>46307</v>
      </c>
      <c r="E97" t="n">
        <v>0</v>
      </c>
      <c r="F97" s="1" t="n">
        <v>12539.6</v>
      </c>
      <c r="G97" s="1" t="n">
        <v>70450.25</v>
      </c>
      <c r="H97" t="n">
        <v>0</v>
      </c>
      <c r="I97" t="inlineStr">
        <is>
          <t>MRK</t>
        </is>
      </c>
      <c r="N97" s="11" t="inlineStr"/>
    </row>
    <row r="98">
      <c r="B98" t="inlineStr">
        <is>
          <t>Stok Kodu</t>
        </is>
      </c>
      <c r="C98" t="inlineStr">
        <is>
          <t>Stok Adı</t>
        </is>
      </c>
      <c r="D98" t="inlineStr">
        <is>
          <t>Miktar</t>
        </is>
      </c>
      <c r="E98" t="inlineStr">
        <is>
          <t>Brüt Fiyat</t>
        </is>
      </c>
      <c r="F98" t="inlineStr">
        <is>
          <t>Net Fiyat</t>
        </is>
      </c>
      <c r="G98" t="inlineStr">
        <is>
          <t>Brüt Satış Tutarı</t>
        </is>
      </c>
      <c r="H98" t="inlineStr">
        <is>
          <t>İskonto Tutarı</t>
        </is>
      </c>
      <c r="I98" t="inlineStr">
        <is>
          <t>KDV Tutarı</t>
        </is>
      </c>
      <c r="J98" t="inlineStr">
        <is>
          <t>Tutar</t>
        </is>
      </c>
      <c r="K98" t="inlineStr">
        <is>
          <t>Döviz Fiyat</t>
        </is>
      </c>
      <c r="L98" t="inlineStr">
        <is>
          <t>Döviz Tutar</t>
        </is>
      </c>
      <c r="M98" t="inlineStr">
        <is>
          <t>Plasiyer Kodu</t>
        </is>
      </c>
    </row>
    <row r="99">
      <c r="B99" t="inlineStr">
        <is>
          <t>PTS030</t>
        </is>
      </c>
      <c r="C99" t="inlineStr">
        <is>
          <t>BİO PİPET BEYAZ 7X22  PK/250AD KL/20 PK</t>
        </is>
      </c>
      <c r="D99" t="inlineStr">
        <is>
          <t>40-PK</t>
        </is>
      </c>
      <c r="E99" t="n">
        <v>270.25</v>
      </c>
      <c r="F99" t="n">
        <v>270.25</v>
      </c>
      <c r="G99" s="1" t="n">
        <v>10810</v>
      </c>
      <c r="H99" t="n">
        <v>0</v>
      </c>
      <c r="I99" s="1" t="n">
        <v>1729.6</v>
      </c>
      <c r="J99" s="1" t="n">
        <v>12539.6</v>
      </c>
      <c r="K99" t="n">
        <v>5.63021</v>
      </c>
      <c r="L99" t="n">
        <v>225.21</v>
      </c>
      <c r="M99" t="inlineStr">
        <is>
          <t>MRK</t>
        </is>
      </c>
    </row>
    <row r="100">
      <c r="A100" s="2" t="n">
        <v>46223</v>
      </c>
      <c r="B100" t="inlineStr">
        <is>
          <t>A00000000255781</t>
        </is>
      </c>
      <c r="C100" t="inlineStr">
        <is>
          <t>FATURAMIZ</t>
        </is>
      </c>
      <c r="D100" s="2" t="n">
        <v>46313</v>
      </c>
      <c r="E100" s="1" t="n">
        <v>14250</v>
      </c>
      <c r="F100" t="n">
        <v>0</v>
      </c>
      <c r="G100" s="1" t="n">
        <v>84700.25</v>
      </c>
      <c r="H100" t="n">
        <v>0</v>
      </c>
      <c r="I100" t="inlineStr">
        <is>
          <t>MRK</t>
        </is>
      </c>
      <c r="N100" s="11" t="inlineStr"/>
    </row>
    <row r="101">
      <c r="B101" t="inlineStr">
        <is>
          <t>Stok Kodu</t>
        </is>
      </c>
      <c r="C101" t="inlineStr">
        <is>
          <t>Stok Adı</t>
        </is>
      </c>
      <c r="D101" t="inlineStr">
        <is>
          <t>Miktar</t>
        </is>
      </c>
      <c r="E101" t="inlineStr">
        <is>
          <t>Brüt Fiyat</t>
        </is>
      </c>
      <c r="F101" t="inlineStr">
        <is>
          <t>Net Fiyat</t>
        </is>
      </c>
      <c r="G101" t="inlineStr">
        <is>
          <t>Brüt Satış Tutarı</t>
        </is>
      </c>
      <c r="H101" t="inlineStr">
        <is>
          <t>İskonto Tutarı</t>
        </is>
      </c>
      <c r="I101" t="inlineStr">
        <is>
          <t>KDV Tutarı</t>
        </is>
      </c>
      <c r="J101" t="inlineStr">
        <is>
          <t>Tutar</t>
        </is>
      </c>
      <c r="K101" t="inlineStr">
        <is>
          <t>Döviz Fiyat</t>
        </is>
      </c>
      <c r="L101" t="inlineStr">
        <is>
          <t>Döviz Tutar</t>
        </is>
      </c>
      <c r="M101" t="inlineStr">
        <is>
          <t>Plasiyer Kodu</t>
        </is>
      </c>
    </row>
    <row r="102">
      <c r="B102" t="inlineStr">
        <is>
          <t>MRS0010</t>
        </is>
      </c>
      <c r="C102" t="inlineStr">
        <is>
          <t>GUA BASKILI 22X11X28 KRAFT DÜZ SAP KL/300</t>
        </is>
      </c>
      <c r="D102" t="inlineStr">
        <is>
          <t>600-AD</t>
        </is>
      </c>
      <c r="E102" t="n">
        <v>9</v>
      </c>
      <c r="F102" t="n">
        <v>9</v>
      </c>
      <c r="G102" s="1" t="n">
        <v>5400</v>
      </c>
      <c r="H102" t="n">
        <v>0</v>
      </c>
      <c r="I102" t="n">
        <v>270</v>
      </c>
      <c r="J102" s="1" t="n">
        <v>5670</v>
      </c>
      <c r="K102" t="n">
        <v>0</v>
      </c>
      <c r="L102" t="n">
        <v>0</v>
      </c>
      <c r="M102" t="inlineStr">
        <is>
          <t>MRK</t>
        </is>
      </c>
    </row>
    <row r="103">
      <c r="B103" t="inlineStr">
        <is>
          <t>ATM017</t>
        </is>
      </c>
      <c r="C103" t="inlineStr">
        <is>
          <t>BOBAJOY MEYVE TOPLARI ÇİLEK 4KG KL/4AD (2.)</t>
        </is>
      </c>
      <c r="D103" t="inlineStr">
        <is>
          <t>1-AD</t>
        </is>
      </c>
      <c r="E103" s="1" t="n">
        <v>1800</v>
      </c>
      <c r="F103" s="1" t="n">
        <v>1800</v>
      </c>
      <c r="G103" s="1" t="n">
        <v>1800</v>
      </c>
      <c r="H103" t="n">
        <v>0</v>
      </c>
      <c r="I103" t="n">
        <v>180</v>
      </c>
      <c r="J103" s="1" t="n">
        <v>1980</v>
      </c>
      <c r="K103" t="n">
        <v>0</v>
      </c>
      <c r="L103" t="n">
        <v>0</v>
      </c>
      <c r="M103" t="inlineStr">
        <is>
          <t>MRK</t>
        </is>
      </c>
    </row>
    <row r="104">
      <c r="B104" t="inlineStr">
        <is>
          <t>ATM033</t>
        </is>
      </c>
      <c r="C104" t="inlineStr">
        <is>
          <t>BOBAJOY TOPLARI KARAMEL 4 KG KL/4AD (3.)</t>
        </is>
      </c>
      <c r="D104" t="inlineStr">
        <is>
          <t>1-AD</t>
        </is>
      </c>
      <c r="E104" s="1" t="n">
        <v>1800</v>
      </c>
      <c r="F104" s="1" t="n">
        <v>1800</v>
      </c>
      <c r="G104" s="1" t="n">
        <v>1800</v>
      </c>
      <c r="H104" t="n">
        <v>0</v>
      </c>
      <c r="I104" t="n">
        <v>180</v>
      </c>
      <c r="J104" s="1" t="n">
        <v>1980</v>
      </c>
      <c r="K104" t="n">
        <v>37.5</v>
      </c>
      <c r="L104" t="n">
        <v>37.5</v>
      </c>
      <c r="M104" t="inlineStr">
        <is>
          <t>MRK</t>
        </is>
      </c>
    </row>
    <row r="105">
      <c r="B105" t="inlineStr">
        <is>
          <t>ATM070</t>
        </is>
      </c>
      <c r="C105" t="inlineStr">
        <is>
          <t>TEAJOY HYPE &amp; JOY (HİBİSKUS) 2,5 KG KL/4AD</t>
        </is>
      </c>
      <c r="D105" t="inlineStr">
        <is>
          <t>3-AD</t>
        </is>
      </c>
      <c r="E105" t="n">
        <v>840</v>
      </c>
      <c r="F105" t="n">
        <v>840</v>
      </c>
      <c r="G105" s="1" t="n">
        <v>2520</v>
      </c>
      <c r="H105" t="n">
        <v>0</v>
      </c>
      <c r="I105" t="n">
        <v>252</v>
      </c>
      <c r="J105" s="1" t="n">
        <v>2772</v>
      </c>
      <c r="K105" t="n">
        <v>0</v>
      </c>
      <c r="L105" t="n">
        <v>0</v>
      </c>
      <c r="M105" t="inlineStr">
        <is>
          <t>MRK</t>
        </is>
      </c>
    </row>
    <row r="106">
      <c r="B106" t="inlineStr">
        <is>
          <t>ATM074</t>
        </is>
      </c>
      <c r="C106" t="inlineStr">
        <is>
          <t>TEAJOY MR.ORGO (MANGO&amp;PRTKL) 2,5 KG KL/4AD</t>
        </is>
      </c>
      <c r="D106" t="inlineStr">
        <is>
          <t>2-AD</t>
        </is>
      </c>
      <c r="E106" t="n">
        <v>840</v>
      </c>
      <c r="F106" t="n">
        <v>840</v>
      </c>
      <c r="G106" s="1" t="n">
        <v>1680</v>
      </c>
      <c r="H106" t="n">
        <v>0</v>
      </c>
      <c r="I106" t="n">
        <v>168</v>
      </c>
      <c r="J106" s="1" t="n">
        <v>1848</v>
      </c>
      <c r="K106" t="n">
        <v>0</v>
      </c>
      <c r="L106" t="n">
        <v>0</v>
      </c>
      <c r="M106" t="inlineStr">
        <is>
          <t>MRK</t>
        </is>
      </c>
    </row>
    <row r="107">
      <c r="A107" s="2" t="n">
        <v>46223</v>
      </c>
      <c r="B107" t="inlineStr">
        <is>
          <t>A00000000255791</t>
        </is>
      </c>
      <c r="C107" t="inlineStr">
        <is>
          <t>FATURAMIZ</t>
        </is>
      </c>
      <c r="D107" s="2" t="n">
        <v>46313</v>
      </c>
      <c r="E107" t="n">
        <v>495</v>
      </c>
      <c r="F107" t="n">
        <v>0</v>
      </c>
      <c r="G107" s="1" t="n">
        <v>85195.25</v>
      </c>
      <c r="H107" t="n">
        <v>0</v>
      </c>
      <c r="I107" t="inlineStr">
        <is>
          <t>MRK</t>
        </is>
      </c>
      <c r="N107" s="11" t="inlineStr"/>
    </row>
    <row r="108">
      <c r="B108" t="inlineStr">
        <is>
          <t>Stok Kodu</t>
        </is>
      </c>
      <c r="C108" t="inlineStr">
        <is>
          <t>Stok Adı</t>
        </is>
      </c>
      <c r="D108" t="inlineStr">
        <is>
          <t>Miktar</t>
        </is>
      </c>
      <c r="E108" t="inlineStr">
        <is>
          <t>Brüt Fiyat</t>
        </is>
      </c>
      <c r="F108" t="inlineStr">
        <is>
          <t>Net Fiyat</t>
        </is>
      </c>
      <c r="G108" t="inlineStr">
        <is>
          <t>Brüt Satış Tutarı</t>
        </is>
      </c>
      <c r="H108" t="inlineStr">
        <is>
          <t>İskonto Tutarı</t>
        </is>
      </c>
      <c r="I108" t="inlineStr">
        <is>
          <t>KDV Tutarı</t>
        </is>
      </c>
      <c r="J108" t="inlineStr">
        <is>
          <t>Tutar</t>
        </is>
      </c>
      <c r="K108" t="inlineStr">
        <is>
          <t>Döviz Fiyat</t>
        </is>
      </c>
      <c r="L108" t="inlineStr">
        <is>
          <t>Döviz Tutar</t>
        </is>
      </c>
      <c r="M108" t="inlineStr">
        <is>
          <t>Plasiyer Kodu</t>
        </is>
      </c>
    </row>
    <row r="109">
      <c r="B109" t="inlineStr">
        <is>
          <t>ATM057</t>
        </is>
      </c>
      <c r="C109" t="inlineStr">
        <is>
          <t>BOBAJOY MEYVE SUYU TOPLARI Y.MERSİNİ 1KG KL/12AD</t>
        </is>
      </c>
      <c r="D109" t="inlineStr">
        <is>
          <t>1-AD</t>
        </is>
      </c>
      <c r="E109" t="n">
        <v>450</v>
      </c>
      <c r="F109" t="n">
        <v>450</v>
      </c>
      <c r="G109" t="n">
        <v>450</v>
      </c>
      <c r="H109" t="n">
        <v>0</v>
      </c>
      <c r="I109" t="n">
        <v>45</v>
      </c>
      <c r="J109" t="n">
        <v>495</v>
      </c>
      <c r="K109" t="n">
        <v>0</v>
      </c>
      <c r="L109" t="n">
        <v>0</v>
      </c>
      <c r="M109" t="inlineStr">
        <is>
          <t>MRK</t>
        </is>
      </c>
    </row>
    <row r="110">
      <c r="A110" s="2" t="n">
        <v>46230</v>
      </c>
      <c r="B110" t="inlineStr">
        <is>
          <t>A00000000256524</t>
        </is>
      </c>
      <c r="C110" t="inlineStr">
        <is>
          <t>FATURAMIZ</t>
        </is>
      </c>
      <c r="D110" s="2" t="n">
        <v>46320</v>
      </c>
      <c r="E110" s="1" t="n">
        <v>4640</v>
      </c>
      <c r="F110" t="n">
        <v>0</v>
      </c>
      <c r="G110" s="1" t="n">
        <v>89835.25</v>
      </c>
      <c r="H110" t="n">
        <v>0</v>
      </c>
      <c r="I110" t="inlineStr">
        <is>
          <t>MRK</t>
        </is>
      </c>
      <c r="N110" s="11" t="inlineStr"/>
    </row>
    <row r="111">
      <c r="B111" t="inlineStr">
        <is>
          <t>Stok Kodu</t>
        </is>
      </c>
      <c r="C111" t="inlineStr">
        <is>
          <t>Stok Adı</t>
        </is>
      </c>
      <c r="D111" t="inlineStr">
        <is>
          <t>Miktar</t>
        </is>
      </c>
      <c r="E111" t="inlineStr">
        <is>
          <t>Brüt Fiyat</t>
        </is>
      </c>
      <c r="F111" t="inlineStr">
        <is>
          <t>Net Fiyat</t>
        </is>
      </c>
      <c r="G111" t="inlineStr">
        <is>
          <t>Brüt Satış Tutarı</t>
        </is>
      </c>
      <c r="H111" t="inlineStr">
        <is>
          <t>İskonto Tutarı</t>
        </is>
      </c>
      <c r="I111" t="inlineStr">
        <is>
          <t>KDV Tutarı</t>
        </is>
      </c>
      <c r="J111" t="inlineStr">
        <is>
          <t>Tutar</t>
        </is>
      </c>
      <c r="K111" t="inlineStr">
        <is>
          <t>Döviz Fiyat</t>
        </is>
      </c>
      <c r="L111" t="inlineStr">
        <is>
          <t>Döviz Tutar</t>
        </is>
      </c>
      <c r="M111" t="inlineStr">
        <is>
          <t>Plasiyer Kodu</t>
        </is>
      </c>
    </row>
    <row r="112">
      <c r="B112" t="inlineStr">
        <is>
          <t>CK001</t>
        </is>
      </c>
      <c r="C112" t="inlineStr">
        <is>
          <t>PİPET KAĞIT BEYAZ 12X21 SARGILI PK/200AD KL/10PK</t>
        </is>
      </c>
      <c r="D112" t="inlineStr">
        <is>
          <t>10-PK</t>
        </is>
      </c>
      <c r="E112" t="n">
        <v>400</v>
      </c>
      <c r="F112" t="n">
        <v>400</v>
      </c>
      <c r="G112" s="1" t="n">
        <v>4000</v>
      </c>
      <c r="H112" t="n">
        <v>0</v>
      </c>
      <c r="I112" t="n">
        <v>640</v>
      </c>
      <c r="J112" s="1" t="n">
        <v>4640</v>
      </c>
      <c r="K112" t="n">
        <v>8.33333</v>
      </c>
      <c r="L112" t="n">
        <v>83.33</v>
      </c>
      <c r="M112" t="inlineStr">
        <is>
          <t>MRK</t>
        </is>
      </c>
    </row>
    <row r="113">
      <c r="A113" s="2" t="n">
        <v>46240</v>
      </c>
      <c r="B113" t="inlineStr">
        <is>
          <t>A00000000257286</t>
        </is>
      </c>
      <c r="C113" t="inlineStr">
        <is>
          <t>FATURAMIZ</t>
        </is>
      </c>
      <c r="D113" s="2" t="n">
        <v>46330</v>
      </c>
      <c r="E113" s="1" t="n">
        <v>1848</v>
      </c>
      <c r="F113" t="n">
        <v>0</v>
      </c>
      <c r="G113" s="1" t="n">
        <v>91683.25</v>
      </c>
      <c r="H113" t="n">
        <v>0</v>
      </c>
      <c r="I113" t="inlineStr">
        <is>
          <t>MRK</t>
        </is>
      </c>
      <c r="N113" s="11" t="inlineStr"/>
    </row>
    <row r="114">
      <c r="B114" t="inlineStr">
        <is>
          <t>Stok Kodu</t>
        </is>
      </c>
      <c r="C114" t="inlineStr">
        <is>
          <t>Stok Adı</t>
        </is>
      </c>
      <c r="D114" t="inlineStr">
        <is>
          <t>Miktar</t>
        </is>
      </c>
      <c r="E114" t="inlineStr">
        <is>
          <t>Brüt Fiyat</t>
        </is>
      </c>
      <c r="F114" t="inlineStr">
        <is>
          <t>Net Fiyat</t>
        </is>
      </c>
      <c r="G114" t="inlineStr">
        <is>
          <t>Brüt Satış Tutarı</t>
        </is>
      </c>
      <c r="H114" t="inlineStr">
        <is>
          <t>İskonto Tutarı</t>
        </is>
      </c>
      <c r="I114" t="inlineStr">
        <is>
          <t>KDV Tutarı</t>
        </is>
      </c>
      <c r="J114" t="inlineStr">
        <is>
          <t>Tutar</t>
        </is>
      </c>
      <c r="K114" t="inlineStr">
        <is>
          <t>Döviz Fiyat</t>
        </is>
      </c>
      <c r="L114" t="inlineStr">
        <is>
          <t>Döviz Tutar</t>
        </is>
      </c>
      <c r="M114" t="inlineStr">
        <is>
          <t>Plasiyer Kodu</t>
        </is>
      </c>
    </row>
    <row r="115">
      <c r="B115" t="inlineStr">
        <is>
          <t>ATM074</t>
        </is>
      </c>
      <c r="C115" t="inlineStr">
        <is>
          <t>TEAJOY MR.ORGO (MANGO&amp;PRTKL) 2,5 KG KL/4AD</t>
        </is>
      </c>
      <c r="D115" t="inlineStr">
        <is>
          <t>1-AD</t>
        </is>
      </c>
      <c r="E115" t="n">
        <v>840</v>
      </c>
      <c r="F115" t="n">
        <v>840</v>
      </c>
      <c r="G115" t="n">
        <v>840</v>
      </c>
      <c r="H115" t="n">
        <v>0</v>
      </c>
      <c r="I115" t="n">
        <v>84</v>
      </c>
      <c r="J115" t="n">
        <v>924</v>
      </c>
      <c r="K115" t="n">
        <v>0</v>
      </c>
      <c r="L115" t="n">
        <v>0</v>
      </c>
      <c r="M115" t="inlineStr">
        <is>
          <t>MRK</t>
        </is>
      </c>
    </row>
    <row r="116">
      <c r="B116" t="inlineStr">
        <is>
          <t>ATM070</t>
        </is>
      </c>
      <c r="C116" t="inlineStr">
        <is>
          <t>TEAJOY HYPE &amp; JOY (HİBİSKUS) 2,5 KG KL/4AD</t>
        </is>
      </c>
      <c r="D116" t="inlineStr">
        <is>
          <t>1-AD</t>
        </is>
      </c>
      <c r="E116" t="n">
        <v>840</v>
      </c>
      <c r="F116" t="n">
        <v>840</v>
      </c>
      <c r="G116" t="n">
        <v>840</v>
      </c>
      <c r="H116" t="n">
        <v>0</v>
      </c>
      <c r="I116" t="n">
        <v>84</v>
      </c>
      <c r="J116" t="n">
        <v>924</v>
      </c>
      <c r="K116" t="n">
        <v>0</v>
      </c>
      <c r="L116" t="n">
        <v>0</v>
      </c>
      <c r="M116" t="inlineStr">
        <is>
          <t>MRK</t>
        </is>
      </c>
    </row>
    <row r="117">
      <c r="A117" s="2" t="n">
        <v>46245</v>
      </c>
      <c r="B117" t="inlineStr">
        <is>
          <t>A00000000257723</t>
        </is>
      </c>
      <c r="C117" t="inlineStr">
        <is>
          <t>FATURAMIZ</t>
        </is>
      </c>
      <c r="D117" s="2" t="n">
        <v>46335</v>
      </c>
      <c r="E117" s="1" t="n">
        <v>5940</v>
      </c>
      <c r="F117" t="n">
        <v>0</v>
      </c>
      <c r="G117" s="1" t="n">
        <v>97623.25</v>
      </c>
      <c r="H117" t="n">
        <v>0</v>
      </c>
      <c r="I117" t="inlineStr">
        <is>
          <t>MRK</t>
        </is>
      </c>
      <c r="N117" s="11" t="inlineStr"/>
    </row>
    <row r="118">
      <c r="B118" t="inlineStr">
        <is>
          <t>Stok Kodu</t>
        </is>
      </c>
      <c r="C118" t="inlineStr">
        <is>
          <t>Stok Adı</t>
        </is>
      </c>
      <c r="D118" t="inlineStr">
        <is>
          <t>Miktar</t>
        </is>
      </c>
      <c r="E118" t="inlineStr">
        <is>
          <t>Brüt Fiyat</t>
        </is>
      </c>
      <c r="F118" t="inlineStr">
        <is>
          <t>Net Fiyat</t>
        </is>
      </c>
      <c r="G118" t="inlineStr">
        <is>
          <t>Brüt Satış Tutarı</t>
        </is>
      </c>
      <c r="H118" t="inlineStr">
        <is>
          <t>İskonto Tutarı</t>
        </is>
      </c>
      <c r="I118" t="inlineStr">
        <is>
          <t>KDV Tutarı</t>
        </is>
      </c>
      <c r="J118" t="inlineStr">
        <is>
          <t>Tutar</t>
        </is>
      </c>
      <c r="K118" t="inlineStr">
        <is>
          <t>Döviz Fiyat</t>
        </is>
      </c>
      <c r="L118" t="inlineStr">
        <is>
          <t>Döviz Tutar</t>
        </is>
      </c>
      <c r="M118" t="inlineStr">
        <is>
          <t>Plasiyer Kodu</t>
        </is>
      </c>
    </row>
    <row r="119">
      <c r="B119" t="inlineStr">
        <is>
          <t>ATM033</t>
        </is>
      </c>
      <c r="C119" t="inlineStr">
        <is>
          <t>BOBAJOY TOPLARI KARAMEL 4 KG KL/4AD (3.)</t>
        </is>
      </c>
      <c r="D119" t="inlineStr">
        <is>
          <t>2-AD</t>
        </is>
      </c>
      <c r="E119" s="1" t="n">
        <v>1800</v>
      </c>
      <c r="F119" s="1" t="n">
        <v>1800</v>
      </c>
      <c r="G119" s="1" t="n">
        <v>3600</v>
      </c>
      <c r="H119" t="n">
        <v>0</v>
      </c>
      <c r="I119" t="n">
        <v>360</v>
      </c>
      <c r="J119" s="1" t="n">
        <v>3960</v>
      </c>
      <c r="K119" t="n">
        <v>0</v>
      </c>
      <c r="L119" t="n">
        <v>0</v>
      </c>
      <c r="M119" t="inlineStr">
        <is>
          <t>MRK</t>
        </is>
      </c>
    </row>
    <row r="120">
      <c r="B120" t="inlineStr">
        <is>
          <t>ATM017</t>
        </is>
      </c>
      <c r="C120" t="inlineStr">
        <is>
          <t>BOBAJOY MEYVE TOPLARI ÇİLEK 4KG KL/4AD (2.)</t>
        </is>
      </c>
      <c r="D120" t="inlineStr">
        <is>
          <t>1-AD</t>
        </is>
      </c>
      <c r="E120" s="1" t="n">
        <v>1800</v>
      </c>
      <c r="F120" s="1" t="n">
        <v>1800</v>
      </c>
      <c r="G120" s="1" t="n">
        <v>1800</v>
      </c>
      <c r="H120" t="n">
        <v>0</v>
      </c>
      <c r="I120" t="n">
        <v>180</v>
      </c>
      <c r="J120" s="1" t="n">
        <v>1980</v>
      </c>
      <c r="K120" t="n">
        <v>0</v>
      </c>
      <c r="L120" t="n">
        <v>0</v>
      </c>
      <c r="M120" t="inlineStr">
        <is>
          <t>MRK</t>
        </is>
      </c>
    </row>
    <row r="121">
      <c r="A121" s="2" t="n">
        <v>46262</v>
      </c>
      <c r="B121" t="inlineStr">
        <is>
          <t>A00000000259067</t>
        </is>
      </c>
      <c r="C121" t="inlineStr">
        <is>
          <t>FATURAMIZ</t>
        </is>
      </c>
      <c r="D121" s="2" t="n">
        <v>46352</v>
      </c>
      <c r="E121" s="1" t="n">
        <v>7920</v>
      </c>
      <c r="F121" t="n">
        <v>0</v>
      </c>
      <c r="G121" s="1" t="n">
        <v>105543.25</v>
      </c>
      <c r="H121" t="n">
        <v>0</v>
      </c>
      <c r="I121" t="inlineStr">
        <is>
          <t>MRK</t>
        </is>
      </c>
      <c r="N121" s="11" t="inlineStr"/>
    </row>
    <row r="122">
      <c r="B122" t="inlineStr">
        <is>
          <t>Stok Kodu</t>
        </is>
      </c>
      <c r="C122" t="inlineStr">
        <is>
          <t>Stok Adı</t>
        </is>
      </c>
      <c r="D122" t="inlineStr">
        <is>
          <t>Miktar</t>
        </is>
      </c>
      <c r="E122" t="inlineStr">
        <is>
          <t>Brüt Fiyat</t>
        </is>
      </c>
      <c r="F122" t="inlineStr">
        <is>
          <t>Net Fiyat</t>
        </is>
      </c>
      <c r="G122" t="inlineStr">
        <is>
          <t>Brüt Satış Tutarı</t>
        </is>
      </c>
      <c r="H122" t="inlineStr">
        <is>
          <t>İskonto Tutarı</t>
        </is>
      </c>
      <c r="I122" t="inlineStr">
        <is>
          <t>KDV Tutarı</t>
        </is>
      </c>
      <c r="J122" t="inlineStr">
        <is>
          <t>Tutar</t>
        </is>
      </c>
      <c r="K122" t="inlineStr">
        <is>
          <t>Döviz Fiyat</t>
        </is>
      </c>
      <c r="L122" t="inlineStr">
        <is>
          <t>Döviz Tutar</t>
        </is>
      </c>
      <c r="M122" t="inlineStr">
        <is>
          <t>Plasiyer Kodu</t>
        </is>
      </c>
    </row>
    <row r="123">
      <c r="B123" t="inlineStr">
        <is>
          <t>ATM017</t>
        </is>
      </c>
      <c r="C123" t="inlineStr">
        <is>
          <t>BOBAJOY MEYVE TOPLARI ÇİLEK 4KG KL/4AD (2.)</t>
        </is>
      </c>
      <c r="D123" t="inlineStr">
        <is>
          <t>1-AD</t>
        </is>
      </c>
      <c r="E123" s="1" t="n">
        <v>1800</v>
      </c>
      <c r="F123" s="1" t="n">
        <v>1800</v>
      </c>
      <c r="G123" s="1" t="n">
        <v>1800</v>
      </c>
      <c r="H123" t="n">
        <v>0</v>
      </c>
      <c r="I123" t="n">
        <v>180</v>
      </c>
      <c r="J123" s="1" t="n">
        <v>1980</v>
      </c>
      <c r="K123" t="n">
        <v>0</v>
      </c>
      <c r="L123" t="n">
        <v>0</v>
      </c>
      <c r="M123" t="inlineStr">
        <is>
          <t>MRK</t>
        </is>
      </c>
    </row>
    <row r="124">
      <c r="B124" t="inlineStr">
        <is>
          <t>ATM040</t>
        </is>
      </c>
      <c r="C124" t="inlineStr">
        <is>
          <t>BOBAJOY MEYVE SUYU TOPLARI MANGO 4KG KL/4AD</t>
        </is>
      </c>
      <c r="D124" t="inlineStr">
        <is>
          <t>1-AD</t>
        </is>
      </c>
      <c r="E124" s="1" t="n">
        <v>1800</v>
      </c>
      <c r="F124" s="1" t="n">
        <v>1800</v>
      </c>
      <c r="G124" s="1" t="n">
        <v>1800</v>
      </c>
      <c r="H124" t="n">
        <v>0</v>
      </c>
      <c r="I124" t="n">
        <v>180</v>
      </c>
      <c r="J124" s="1" t="n">
        <v>1980</v>
      </c>
      <c r="K124" t="n">
        <v>0</v>
      </c>
      <c r="L124" t="n">
        <v>0</v>
      </c>
      <c r="M124" t="inlineStr">
        <is>
          <t>MRK</t>
        </is>
      </c>
    </row>
    <row r="125">
      <c r="B125" t="inlineStr">
        <is>
          <t>ATM038</t>
        </is>
      </c>
      <c r="C125" t="inlineStr">
        <is>
          <t>BOBAJOY MEYVE SUYU Y.MERSİNİ 4KG KL/4AD (3.)</t>
        </is>
      </c>
      <c r="D125" t="inlineStr">
        <is>
          <t>1-AD</t>
        </is>
      </c>
      <c r="E125" s="1" t="n">
        <v>1800</v>
      </c>
      <c r="F125" s="1" t="n">
        <v>1800</v>
      </c>
      <c r="G125" s="1" t="n">
        <v>1800</v>
      </c>
      <c r="H125" t="n">
        <v>0</v>
      </c>
      <c r="I125" t="n">
        <v>180</v>
      </c>
      <c r="J125" s="1" t="n">
        <v>1980</v>
      </c>
      <c r="K125" t="n">
        <v>0</v>
      </c>
      <c r="L125" t="n">
        <v>0</v>
      </c>
      <c r="M125" t="inlineStr">
        <is>
          <t>MRK</t>
        </is>
      </c>
    </row>
    <row r="126">
      <c r="B126" t="inlineStr">
        <is>
          <t>ATM030</t>
        </is>
      </c>
      <c r="C126" t="inlineStr">
        <is>
          <t>BOBAJOY MEYVE SUYU TOPLARI YEŞİL ELMA 4KG KL/4AD (2.)</t>
        </is>
      </c>
      <c r="D126" t="inlineStr">
        <is>
          <t>1-AD</t>
        </is>
      </c>
      <c r="E126" s="1" t="n">
        <v>1800</v>
      </c>
      <c r="F126" s="1" t="n">
        <v>1800</v>
      </c>
      <c r="G126" s="1" t="n">
        <v>1800</v>
      </c>
      <c r="H126" t="n">
        <v>0</v>
      </c>
      <c r="I126" t="n">
        <v>180</v>
      </c>
      <c r="J126" s="1" t="n">
        <v>1980</v>
      </c>
      <c r="K126" t="n">
        <v>0</v>
      </c>
      <c r="L126" t="n">
        <v>0</v>
      </c>
      <c r="M126" t="inlineStr">
        <is>
          <t>MRK</t>
        </is>
      </c>
    </row>
    <row r="127">
      <c r="A127" s="2" t="n">
        <v>46262</v>
      </c>
      <c r="B127" t="inlineStr">
        <is>
          <t>GD567</t>
        </is>
      </c>
      <c r="C127" t="inlineStr">
        <is>
          <t>GD/567/ İŞBANKASI HAVALE</t>
        </is>
      </c>
      <c r="D127" s="2" t="n">
        <v>46262</v>
      </c>
      <c r="E127" t="n">
        <v>0</v>
      </c>
      <c r="F127" s="1" t="n">
        <v>97623.25</v>
      </c>
      <c r="G127" s="1" t="n">
        <v>7920</v>
      </c>
      <c r="H127" t="n">
        <v>0</v>
      </c>
      <c r="I127" t="inlineStr">
        <is>
          <t>MRK</t>
        </is>
      </c>
    </row>
    <row r="128">
      <c r="A128" s="2" t="n">
        <v>46263</v>
      </c>
      <c r="B128" t="inlineStr">
        <is>
          <t>A00000000259115</t>
        </is>
      </c>
      <c r="C128" t="inlineStr">
        <is>
          <t>FATURAMIZ</t>
        </is>
      </c>
      <c r="D128" s="2" t="n">
        <v>46353</v>
      </c>
      <c r="E128" s="1" t="n">
        <v>1848</v>
      </c>
      <c r="F128" t="n">
        <v>0</v>
      </c>
      <c r="G128" s="1" t="n">
        <v>9768</v>
      </c>
      <c r="H128" t="n">
        <v>0</v>
      </c>
      <c r="I128" t="inlineStr">
        <is>
          <t>MRK</t>
        </is>
      </c>
      <c r="N128" s="11" t="inlineStr"/>
    </row>
    <row r="129">
      <c r="B129" t="inlineStr">
        <is>
          <t>Stok Kodu</t>
        </is>
      </c>
      <c r="C129" t="inlineStr">
        <is>
          <t>Stok Adı</t>
        </is>
      </c>
      <c r="D129" t="inlineStr">
        <is>
          <t>Miktar</t>
        </is>
      </c>
      <c r="E129" t="inlineStr">
        <is>
          <t>Brüt Fiyat</t>
        </is>
      </c>
      <c r="F129" t="inlineStr">
        <is>
          <t>Net Fiyat</t>
        </is>
      </c>
      <c r="G129" t="inlineStr">
        <is>
          <t>Brüt Satış Tutarı</t>
        </is>
      </c>
      <c r="H129" t="inlineStr">
        <is>
          <t>İskonto Tutarı</t>
        </is>
      </c>
      <c r="I129" t="inlineStr">
        <is>
          <t>KDV Tutarı</t>
        </is>
      </c>
      <c r="J129" t="inlineStr">
        <is>
          <t>Tutar</t>
        </is>
      </c>
      <c r="K129" t="inlineStr">
        <is>
          <t>Döviz Fiyat</t>
        </is>
      </c>
      <c r="L129" t="inlineStr">
        <is>
          <t>Döviz Tutar</t>
        </is>
      </c>
      <c r="M129" t="inlineStr">
        <is>
          <t>Plasiyer Kodu</t>
        </is>
      </c>
    </row>
    <row r="130">
      <c r="B130" t="inlineStr">
        <is>
          <t>ATM070</t>
        </is>
      </c>
      <c r="C130" t="inlineStr">
        <is>
          <t>TEAJOY HYPE &amp; JOY (HİBİSKUS) 2,5 KG KL/4AD</t>
        </is>
      </c>
      <c r="D130" t="inlineStr">
        <is>
          <t>2-AD</t>
        </is>
      </c>
      <c r="E130" t="n">
        <v>840</v>
      </c>
      <c r="F130" t="n">
        <v>840</v>
      </c>
      <c r="G130" s="1" t="n">
        <v>1680</v>
      </c>
      <c r="H130" t="n">
        <v>0</v>
      </c>
      <c r="I130" t="n">
        <v>168</v>
      </c>
      <c r="J130" s="1" t="n">
        <v>1848</v>
      </c>
      <c r="K130" t="n">
        <v>0</v>
      </c>
      <c r="L130" t="n">
        <v>0</v>
      </c>
      <c r="M130" t="inlineStr">
        <is>
          <t>MRK</t>
        </is>
      </c>
    </row>
    <row r="131">
      <c r="A131" s="2" t="n">
        <v>46263</v>
      </c>
      <c r="B131" t="inlineStr">
        <is>
          <t>A00000000259123</t>
        </is>
      </c>
      <c r="C131" t="inlineStr">
        <is>
          <t>FATURAMIZ</t>
        </is>
      </c>
      <c r="D131" s="2" t="n">
        <v>46353</v>
      </c>
      <c r="E131" s="1" t="n">
        <v>20481.41</v>
      </c>
      <c r="F131" t="n">
        <v>0</v>
      </c>
      <c r="G131" s="1" t="n">
        <v>30249.41</v>
      </c>
      <c r="H131" t="n">
        <v>0</v>
      </c>
      <c r="I131" t="inlineStr">
        <is>
          <t>MRK</t>
        </is>
      </c>
      <c r="N131" s="11" t="inlineStr"/>
    </row>
    <row r="132">
      <c r="B132" t="inlineStr">
        <is>
          <t>Stok Kodu</t>
        </is>
      </c>
      <c r="C132" t="inlineStr">
        <is>
          <t>Stok Adı</t>
        </is>
      </c>
      <c r="D132" t="inlineStr">
        <is>
          <t>Miktar</t>
        </is>
      </c>
      <c r="E132" t="inlineStr">
        <is>
          <t>Brüt Fiyat</t>
        </is>
      </c>
      <c r="F132" t="inlineStr">
        <is>
          <t>Net Fiyat</t>
        </is>
      </c>
      <c r="G132" t="inlineStr">
        <is>
          <t>Brüt Satış Tutarı</t>
        </is>
      </c>
      <c r="H132" t="inlineStr">
        <is>
          <t>İskonto Tutarı</t>
        </is>
      </c>
      <c r="I132" t="inlineStr">
        <is>
          <t>KDV Tutarı</t>
        </is>
      </c>
      <c r="J132" t="inlineStr">
        <is>
          <t>Tutar</t>
        </is>
      </c>
      <c r="K132" t="inlineStr">
        <is>
          <t>Döviz Fiyat</t>
        </is>
      </c>
      <c r="L132" t="inlineStr">
        <is>
          <t>Döviz Tutar</t>
        </is>
      </c>
      <c r="M132" t="inlineStr">
        <is>
          <t>Plasiyer Kodu</t>
        </is>
      </c>
    </row>
    <row r="133">
      <c r="B133" t="inlineStr">
        <is>
          <t>ATM038</t>
        </is>
      </c>
      <c r="C133" t="inlineStr">
        <is>
          <t>BOBAJOY MEYVE SUYU Y.MERSİNİ 4KG KL/4AD (3.)</t>
        </is>
      </c>
      <c r="D133" t="inlineStr">
        <is>
          <t>2-AD</t>
        </is>
      </c>
      <c r="E133" s="1" t="n">
        <v>1800</v>
      </c>
      <c r="F133" s="1" t="n">
        <v>1800</v>
      </c>
      <c r="G133" s="1" t="n">
        <v>3600</v>
      </c>
      <c r="H133" t="n">
        <v>0</v>
      </c>
      <c r="I133" t="n">
        <v>360</v>
      </c>
      <c r="J133" s="1" t="n">
        <v>3960</v>
      </c>
      <c r="K133" t="n">
        <v>0</v>
      </c>
      <c r="L133" t="n">
        <v>0</v>
      </c>
      <c r="M133" t="inlineStr">
        <is>
          <t>MRK</t>
        </is>
      </c>
    </row>
    <row r="134">
      <c r="B134" t="inlineStr">
        <is>
          <t>ATM040</t>
        </is>
      </c>
      <c r="C134" t="inlineStr">
        <is>
          <t>BOBAJOY MEYVE SUYU TOPLARI MANGO 4KG KL/4AD</t>
        </is>
      </c>
      <c r="D134" t="inlineStr">
        <is>
          <t>1-AD</t>
        </is>
      </c>
      <c r="E134" s="1" t="n">
        <v>1800</v>
      </c>
      <c r="F134" s="1" t="n">
        <v>1800</v>
      </c>
      <c r="G134" s="1" t="n">
        <v>1800</v>
      </c>
      <c r="H134" t="n">
        <v>0</v>
      </c>
      <c r="I134" t="n">
        <v>180</v>
      </c>
      <c r="J134" s="1" t="n">
        <v>1980</v>
      </c>
      <c r="K134" t="n">
        <v>0</v>
      </c>
      <c r="L134" t="n">
        <v>0</v>
      </c>
      <c r="M134" t="inlineStr">
        <is>
          <t>MRK</t>
        </is>
      </c>
    </row>
    <row r="135">
      <c r="B135" t="inlineStr">
        <is>
          <t>PTS038</t>
        </is>
      </c>
      <c r="C135" t="inlineStr">
        <is>
          <t>BİO PİPET BEYAZ 8X24 SARGILI PK/250AD KL/20</t>
        </is>
      </c>
      <c r="D135" t="inlineStr">
        <is>
          <t>40-PK</t>
        </is>
      </c>
      <c r="E135" t="n">
        <v>270.72</v>
      </c>
      <c r="F135" t="n">
        <v>270.72</v>
      </c>
      <c r="G135" s="1" t="n">
        <v>10828.8</v>
      </c>
      <c r="H135" t="n">
        <v>0</v>
      </c>
      <c r="I135" s="1" t="n">
        <v>1732.61</v>
      </c>
      <c r="J135" s="1" t="n">
        <v>12561.41</v>
      </c>
      <c r="K135" t="n">
        <v>5.64</v>
      </c>
      <c r="L135" t="n">
        <v>225.6</v>
      </c>
      <c r="M135" t="inlineStr">
        <is>
          <t>MRK</t>
        </is>
      </c>
    </row>
    <row r="136">
      <c r="B136" t="inlineStr">
        <is>
          <t>ATM074</t>
        </is>
      </c>
      <c r="C136" t="inlineStr">
        <is>
          <t>TEAJOY MR.ORGO (MANGO&amp;PRTKL) 2,5 KG KL/4AD</t>
        </is>
      </c>
      <c r="D136" t="inlineStr">
        <is>
          <t>2-AD</t>
        </is>
      </c>
      <c r="E136" t="n">
        <v>900</v>
      </c>
      <c r="F136" t="n">
        <v>900</v>
      </c>
      <c r="G136" s="1" t="n">
        <v>1800</v>
      </c>
      <c r="H136" t="n">
        <v>0</v>
      </c>
      <c r="I136" t="n">
        <v>180</v>
      </c>
      <c r="J136" s="1" t="n">
        <v>1980</v>
      </c>
      <c r="K136" t="n">
        <v>0</v>
      </c>
      <c r="L136" t="n">
        <v>0</v>
      </c>
      <c r="M136" t="inlineStr">
        <is>
          <t>MRK</t>
        </is>
      </c>
    </row>
    <row r="137">
      <c r="A137" s="2" t="n">
        <v>46266</v>
      </c>
      <c r="B137" t="inlineStr">
        <is>
          <t>A00000000259190</t>
        </is>
      </c>
      <c r="C137" t="inlineStr">
        <is>
          <t>FATURAMIZ</t>
        </is>
      </c>
      <c r="D137" s="2" t="n">
        <v>46356</v>
      </c>
      <c r="E137" s="1" t="n">
        <v>13285</v>
      </c>
      <c r="F137" t="n">
        <v>0</v>
      </c>
      <c r="G137" s="1" t="n">
        <v>43534.41</v>
      </c>
      <c r="H137" t="n">
        <v>0</v>
      </c>
      <c r="I137" t="inlineStr">
        <is>
          <t>MRK</t>
        </is>
      </c>
      <c r="N137" s="11" t="inlineStr"/>
    </row>
    <row r="138">
      <c r="B138" t="inlineStr">
        <is>
          <t>Stok Kodu</t>
        </is>
      </c>
      <c r="C138" t="inlineStr">
        <is>
          <t>Stok Adı</t>
        </is>
      </c>
      <c r="D138" t="inlineStr">
        <is>
          <t>Miktar</t>
        </is>
      </c>
      <c r="E138" t="inlineStr">
        <is>
          <t>Brüt Fiyat</t>
        </is>
      </c>
      <c r="F138" t="inlineStr">
        <is>
          <t>Net Fiyat</t>
        </is>
      </c>
      <c r="G138" t="inlineStr">
        <is>
          <t>Brüt Satış Tutarı</t>
        </is>
      </c>
      <c r="H138" t="inlineStr">
        <is>
          <t>İskonto Tutarı</t>
        </is>
      </c>
      <c r="I138" t="inlineStr">
        <is>
          <t>KDV Tutarı</t>
        </is>
      </c>
      <c r="J138" t="inlineStr">
        <is>
          <t>Tutar</t>
        </is>
      </c>
      <c r="K138" t="inlineStr">
        <is>
          <t>Döviz Fiyat</t>
        </is>
      </c>
      <c r="L138" t="inlineStr">
        <is>
          <t>Döviz Tutar</t>
        </is>
      </c>
      <c r="M138" t="inlineStr">
        <is>
          <t>Plasiyer Kodu</t>
        </is>
      </c>
    </row>
    <row r="139">
      <c r="B139" t="inlineStr">
        <is>
          <t>ATM017</t>
        </is>
      </c>
      <c r="C139" t="inlineStr">
        <is>
          <t>BOBAJOY MEYVE TOPLARI ÇİLEK 4KG KL/4AD (2.)</t>
        </is>
      </c>
      <c r="D139" t="inlineStr">
        <is>
          <t>1-AD</t>
        </is>
      </c>
      <c r="E139" s="1" t="n">
        <v>1800</v>
      </c>
      <c r="F139" s="1" t="n">
        <v>1800</v>
      </c>
      <c r="G139" s="1" t="n">
        <v>1800</v>
      </c>
      <c r="H139" t="n">
        <v>0</v>
      </c>
      <c r="I139" t="n">
        <v>180</v>
      </c>
      <c r="J139" s="1" t="n">
        <v>1980</v>
      </c>
      <c r="K139" t="n">
        <v>0</v>
      </c>
      <c r="L139" t="n">
        <v>0</v>
      </c>
      <c r="M139" t="inlineStr">
        <is>
          <t>MRK</t>
        </is>
      </c>
    </row>
    <row r="140">
      <c r="B140" t="inlineStr">
        <is>
          <t>ATM038</t>
        </is>
      </c>
      <c r="C140" t="inlineStr">
        <is>
          <t>BOBAJOY MEYVE SUYU Y.MERSİNİ 4KG KL/4AD (3.)</t>
        </is>
      </c>
      <c r="D140" t="inlineStr">
        <is>
          <t>1-AD</t>
        </is>
      </c>
      <c r="E140" s="1" t="n">
        <v>1800</v>
      </c>
      <c r="F140" s="1" t="n">
        <v>1800</v>
      </c>
      <c r="G140" s="1" t="n">
        <v>1800</v>
      </c>
      <c r="H140" t="n">
        <v>0</v>
      </c>
      <c r="I140" t="n">
        <v>180</v>
      </c>
      <c r="J140" s="1" t="n">
        <v>1980</v>
      </c>
      <c r="K140" t="n">
        <v>0</v>
      </c>
      <c r="L140" t="n">
        <v>0</v>
      </c>
      <c r="M140" t="inlineStr">
        <is>
          <t>MRK</t>
        </is>
      </c>
    </row>
    <row r="141">
      <c r="B141" t="inlineStr">
        <is>
          <t>ATM030</t>
        </is>
      </c>
      <c r="C141" t="inlineStr">
        <is>
          <t>BOBAJOY MEYVE SUYU TOPLARI YEŞİL ELMA 4KG KL/4AD (2.)</t>
        </is>
      </c>
      <c r="D141" t="inlineStr">
        <is>
          <t>1-AD</t>
        </is>
      </c>
      <c r="E141" s="1" t="n">
        <v>1800</v>
      </c>
      <c r="F141" s="1" t="n">
        <v>1800</v>
      </c>
      <c r="G141" s="1" t="n">
        <v>1800</v>
      </c>
      <c r="H141" t="n">
        <v>0</v>
      </c>
      <c r="I141" t="n">
        <v>180</v>
      </c>
      <c r="J141" s="1" t="n">
        <v>1980</v>
      </c>
      <c r="K141" t="n">
        <v>0</v>
      </c>
      <c r="L141" t="n">
        <v>0</v>
      </c>
      <c r="M141" t="inlineStr">
        <is>
          <t>MRK</t>
        </is>
      </c>
    </row>
    <row r="142">
      <c r="B142" t="inlineStr">
        <is>
          <t>ATM040</t>
        </is>
      </c>
      <c r="C142" t="inlineStr">
        <is>
          <t>BOBAJOY MEYVE SUYU TOPLARI MANGO 4KG KL/4AD</t>
        </is>
      </c>
      <c r="D142" t="inlineStr">
        <is>
          <t>1-AD</t>
        </is>
      </c>
      <c r="E142" s="1" t="n">
        <v>1800</v>
      </c>
      <c r="F142" s="1" t="n">
        <v>1800</v>
      </c>
      <c r="G142" s="1" t="n">
        <v>1800</v>
      </c>
      <c r="H142" t="n">
        <v>0</v>
      </c>
      <c r="I142" t="n">
        <v>180</v>
      </c>
      <c r="J142" s="1" t="n">
        <v>1980</v>
      </c>
      <c r="K142" t="n">
        <v>0</v>
      </c>
      <c r="L142" t="n">
        <v>0</v>
      </c>
      <c r="M142" t="inlineStr">
        <is>
          <t>MRK</t>
        </is>
      </c>
    </row>
    <row r="143">
      <c r="B143" t="inlineStr">
        <is>
          <t>PTS032</t>
        </is>
      </c>
      <c r="C143" t="inlineStr">
        <is>
          <t>BİO PİPET BEYAZ 6X23 SARGILI PK/200AD KL/25</t>
        </is>
      </c>
      <c r="D143" t="inlineStr">
        <is>
          <t>25-PK</t>
        </is>
      </c>
      <c r="E143" t="n">
        <v>185</v>
      </c>
      <c r="F143" t="n">
        <v>185</v>
      </c>
      <c r="G143" s="1" t="n">
        <v>4625</v>
      </c>
      <c r="H143" t="n">
        <v>0</v>
      </c>
      <c r="I143" t="n">
        <v>740</v>
      </c>
      <c r="J143" s="1" t="n">
        <v>5365</v>
      </c>
      <c r="K143" t="n">
        <v>3.85417</v>
      </c>
      <c r="L143" t="n">
        <v>96.34999999999999</v>
      </c>
      <c r="M143" t="inlineStr">
        <is>
          <t>MRK</t>
        </is>
      </c>
    </row>
    <row r="144">
      <c r="A144" s="2" t="n">
        <v>46315</v>
      </c>
      <c r="B144" t="inlineStr">
        <is>
          <t>A00000000263425</t>
        </is>
      </c>
      <c r="C144" t="inlineStr">
        <is>
          <t>FATURAMIZ</t>
        </is>
      </c>
      <c r="D144" s="2" t="n">
        <v>46405</v>
      </c>
      <c r="E144" s="1" t="n">
        <v>3555</v>
      </c>
      <c r="F144" t="n">
        <v>0</v>
      </c>
      <c r="G144" s="1" t="n">
        <v>47089.41</v>
      </c>
      <c r="H144" t="n">
        <v>0</v>
      </c>
      <c r="I144" t="inlineStr">
        <is>
          <t>MRK</t>
        </is>
      </c>
      <c r="N144" s="11" t="inlineStr"/>
    </row>
    <row r="145">
      <c r="B145" t="inlineStr">
        <is>
          <t>Stok Kodu</t>
        </is>
      </c>
      <c r="C145" t="inlineStr">
        <is>
          <t>Stok Adı</t>
        </is>
      </c>
      <c r="D145" t="inlineStr">
        <is>
          <t>Miktar</t>
        </is>
      </c>
      <c r="E145" t="inlineStr">
        <is>
          <t>Brüt Fiyat</t>
        </is>
      </c>
      <c r="F145" t="inlineStr">
        <is>
          <t>Net Fiyat</t>
        </is>
      </c>
      <c r="G145" t="inlineStr">
        <is>
          <t>Brüt Satış Tutarı</t>
        </is>
      </c>
      <c r="H145" t="inlineStr">
        <is>
          <t>İskonto Tutarı</t>
        </is>
      </c>
      <c r="I145" t="inlineStr">
        <is>
          <t>KDV Tutarı</t>
        </is>
      </c>
      <c r="J145" t="inlineStr">
        <is>
          <t>Tutar</t>
        </is>
      </c>
      <c r="K145" t="inlineStr">
        <is>
          <t>Döviz Fiyat</t>
        </is>
      </c>
      <c r="L145" t="inlineStr">
        <is>
          <t>Döviz Tutar</t>
        </is>
      </c>
      <c r="M145" t="inlineStr">
        <is>
          <t>Plasiyer Kodu</t>
        </is>
      </c>
    </row>
    <row r="146">
      <c r="B146" t="inlineStr">
        <is>
          <t>ATM033</t>
        </is>
      </c>
      <c r="C146" t="inlineStr">
        <is>
          <t>BOBAJOY TOPLARI KARAMEL 4 KG KL/4AD (3.)</t>
        </is>
      </c>
      <c r="D146" t="inlineStr">
        <is>
          <t>1-AD</t>
        </is>
      </c>
      <c r="E146" s="1" t="n">
        <v>1800</v>
      </c>
      <c r="F146" s="1" t="n">
        <v>1800</v>
      </c>
      <c r="G146" s="1" t="n">
        <v>1800</v>
      </c>
      <c r="H146" t="n">
        <v>0</v>
      </c>
      <c r="I146" t="n">
        <v>180</v>
      </c>
      <c r="J146" s="1" t="n">
        <v>1980</v>
      </c>
      <c r="K146" t="n">
        <v>0</v>
      </c>
      <c r="L146" t="n">
        <v>0</v>
      </c>
      <c r="M146" t="inlineStr">
        <is>
          <t>MRK</t>
        </is>
      </c>
    </row>
    <row r="147">
      <c r="B147" t="inlineStr">
        <is>
          <t>BBT028</t>
        </is>
      </c>
      <c r="C147" t="inlineStr">
        <is>
          <t>14 OZ BEYAZ DÜZ KAPAK KL/1000</t>
        </is>
      </c>
      <c r="D147" t="inlineStr">
        <is>
          <t>1000-AD</t>
        </is>
      </c>
      <c r="E147" t="n">
        <v>1.5</v>
      </c>
      <c r="F147" t="n">
        <v>1.5</v>
      </c>
      <c r="G147" s="1" t="n">
        <v>1500</v>
      </c>
      <c r="H147" t="n">
        <v>0</v>
      </c>
      <c r="I147" t="n">
        <v>75</v>
      </c>
      <c r="J147" s="1" t="n">
        <v>1575</v>
      </c>
      <c r="K147" t="n">
        <v>0.03</v>
      </c>
      <c r="L147" t="n">
        <v>30</v>
      </c>
      <c r="M147" t="inlineStr">
        <is>
          <t>MRK</t>
        </is>
      </c>
    </row>
    <row r="148">
      <c r="A148" s="2" t="n">
        <v>46319</v>
      </c>
      <c r="B148" t="inlineStr">
        <is>
          <t>A00000000263729</t>
        </is>
      </c>
      <c r="C148" t="inlineStr">
        <is>
          <t>FATURAMIZ</t>
        </is>
      </c>
      <c r="D148" s="2" t="n">
        <v>46409</v>
      </c>
      <c r="E148" s="1" t="n">
        <v>8925</v>
      </c>
      <c r="F148" t="n">
        <v>0</v>
      </c>
      <c r="G148" s="1" t="n">
        <v>56014.41</v>
      </c>
      <c r="H148" t="n">
        <v>0</v>
      </c>
      <c r="I148" t="inlineStr">
        <is>
          <t>MRK</t>
        </is>
      </c>
      <c r="N148" s="12" t="inlineStr">
        <is>
          <t>Mağusa Şube</t>
        </is>
      </c>
    </row>
    <row r="149">
      <c r="B149" t="inlineStr">
        <is>
          <t>Stok Kodu</t>
        </is>
      </c>
      <c r="C149" t="inlineStr">
        <is>
          <t>Stok Adı</t>
        </is>
      </c>
      <c r="D149" t="inlineStr">
        <is>
          <t>Miktar</t>
        </is>
      </c>
      <c r="E149" t="inlineStr">
        <is>
          <t>Brüt Fiyat</t>
        </is>
      </c>
      <c r="F149" t="inlineStr">
        <is>
          <t>Net Fiyat</t>
        </is>
      </c>
      <c r="G149" t="inlineStr">
        <is>
          <t>Brüt Satış Tutarı</t>
        </is>
      </c>
      <c r="H149" t="inlineStr">
        <is>
          <t>İskonto Tutarı</t>
        </is>
      </c>
      <c r="I149" t="inlineStr">
        <is>
          <t>KDV Tutarı</t>
        </is>
      </c>
      <c r="J149" t="inlineStr">
        <is>
          <t>Tutar</t>
        </is>
      </c>
      <c r="K149" t="inlineStr">
        <is>
          <t>Döviz Fiyat</t>
        </is>
      </c>
      <c r="L149" t="inlineStr">
        <is>
          <t>Döviz Tutar</t>
        </is>
      </c>
      <c r="M149" t="inlineStr">
        <is>
          <t>Plasiyer Kodu</t>
        </is>
      </c>
    </row>
    <row r="150">
      <c r="B150" t="inlineStr">
        <is>
          <t>GUS295</t>
        </is>
      </c>
      <c r="C150" t="inlineStr">
        <is>
          <t>GUSTEA DEMLİK SİYAH ÇAY 12 KG</t>
        </is>
      </c>
      <c r="D150" t="inlineStr">
        <is>
          <t>1-AD</t>
        </is>
      </c>
      <c r="E150" s="1" t="n">
        <v>8500</v>
      </c>
      <c r="F150" s="1" t="n">
        <v>8500</v>
      </c>
      <c r="G150" s="1" t="n">
        <v>8500</v>
      </c>
      <c r="H150" t="n">
        <v>0</v>
      </c>
      <c r="I150" t="n">
        <v>425</v>
      </c>
      <c r="J150" s="1" t="n">
        <v>8925</v>
      </c>
      <c r="K150" t="n">
        <v>0</v>
      </c>
      <c r="L150" t="n">
        <v>0</v>
      </c>
      <c r="M150" t="inlineStr">
        <is>
          <t>MRK</t>
        </is>
      </c>
    </row>
    <row r="151">
      <c r="D151" t="inlineStr">
        <is>
          <t>Toplam</t>
        </is>
      </c>
      <c r="E151" s="1" t="n">
        <v>236692.11</v>
      </c>
      <c r="F151" s="1" t="n">
        <v>224605.45</v>
      </c>
      <c r="G151" s="1" t="n">
        <v>12086.66</v>
      </c>
      <c r="H151" t="n">
        <v>0</v>
      </c>
    </row>
    <row r="152">
      <c r="D152" t="inlineStr">
        <is>
          <t>Genel Toplam</t>
        </is>
      </c>
      <c r="E152" s="1" t="n">
        <v>280619.86</v>
      </c>
      <c r="F152" s="1" t="n">
        <v>224605.45</v>
      </c>
      <c r="G152" s="1" t="n">
        <v>56014.41</v>
      </c>
      <c r="H15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2" customWidth="1" min="4" max="4"/>
    <col width="18" customWidth="1" min="5" max="5"/>
  </cols>
  <sheetData>
    <row r="1">
      <c r="A1" s="3" t="inlineStr">
        <is>
          <t>GUA COFFEE COMPANY TRADING LTD – Mağusa Şube</t>
        </is>
      </c>
    </row>
    <row r="3">
      <c r="A3" s="4" t="inlineStr">
        <is>
          <t>Tarih</t>
        </is>
      </c>
      <c r="B3" s="4" t="inlineStr">
        <is>
          <t>Fiş No</t>
        </is>
      </c>
      <c r="C3" s="4" t="inlineStr">
        <is>
          <t>Açıklama</t>
        </is>
      </c>
      <c r="D3" s="4" t="inlineStr">
        <is>
          <t>Vade</t>
        </is>
      </c>
      <c r="E3" s="4" t="inlineStr">
        <is>
          <t>Tutar (KDV dahil)</t>
        </is>
      </c>
    </row>
    <row r="4">
      <c r="A4" s="13" t="n">
        <v>46319</v>
      </c>
      <c r="B4" s="14" t="inlineStr">
        <is>
          <t>A00000000263729</t>
        </is>
      </c>
      <c r="C4" s="14" t="inlineStr">
        <is>
          <t>FATURAMIZ</t>
        </is>
      </c>
      <c r="D4" s="13" t="n">
        <v>46409</v>
      </c>
      <c r="E4" s="15" t="n">
        <v>8925</v>
      </c>
    </row>
    <row r="5">
      <c r="B5" t="inlineStr">
        <is>
          <t>GUS295</t>
        </is>
      </c>
      <c r="C5" t="inlineStr">
        <is>
          <t>GUSTEA DEMLİK SİYAH ÇAY 12 KG</t>
        </is>
      </c>
      <c r="D5" t="inlineStr">
        <is>
          <t>1-AD</t>
        </is>
      </c>
      <c r="E5" s="1" t="n">
        <v>8925</v>
      </c>
    </row>
    <row r="7">
      <c r="C7" s="9" t="inlineStr">
        <is>
          <t>TOPLAM (net)</t>
        </is>
      </c>
      <c r="E7" s="10">
        <f>E4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2" customWidth="1" min="4" max="4"/>
    <col width="18" customWidth="1" min="5" max="5"/>
  </cols>
  <sheetData>
    <row r="1">
      <c r="A1" s="3" t="inlineStr">
        <is>
          <t>GUA COFFEE COMPANY TRADING LTD – Intech Salamis Kiosk</t>
        </is>
      </c>
    </row>
    <row r="3">
      <c r="A3" s="4" t="inlineStr">
        <is>
          <t>Tarih</t>
        </is>
      </c>
      <c r="B3" s="4" t="inlineStr">
        <is>
          <t>Fiş No</t>
        </is>
      </c>
      <c r="C3" s="4" t="inlineStr">
        <is>
          <t>Açıklama</t>
        </is>
      </c>
      <c r="D3" s="4" t="inlineStr">
        <is>
          <t>Vade</t>
        </is>
      </c>
      <c r="E3" s="4" t="inlineStr">
        <is>
          <t>Tutar (KDV dahil)</t>
        </is>
      </c>
    </row>
    <row r="5">
      <c r="A5" t="inlineStr">
        <is>
          <t>Henüz bu şubeye eşleşen fatura yok.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90" customWidth="1" min="5" max="5"/>
    <col width="22" customWidth="1" min="6" max="6"/>
  </cols>
  <sheetData>
    <row r="1">
      <c r="A1" s="3" t="inlineStr">
        <is>
          <t>Şubesi henüz belirlenmemiş faturalar (teslim fişi / şube bilgisi gerekli)</t>
        </is>
      </c>
    </row>
    <row r="3">
      <c r="A3" s="4" t="inlineStr">
        <is>
          <t>Tarih</t>
        </is>
      </c>
      <c r="B3" s="4" t="inlineStr">
        <is>
          <t>Fiş No</t>
        </is>
      </c>
      <c r="C3" s="4" t="inlineStr">
        <is>
          <t>Tür</t>
        </is>
      </c>
      <c r="D3" s="4" t="inlineStr">
        <is>
          <t>Tutar</t>
        </is>
      </c>
      <c r="E3" s="4" t="inlineStr">
        <is>
          <t>Ürünler</t>
        </is>
      </c>
      <c r="F3" s="4" t="inlineStr">
        <is>
          <t>Şube (doldur)</t>
        </is>
      </c>
    </row>
    <row r="4">
      <c r="A4" s="16" t="n">
        <v>46050</v>
      </c>
      <c r="B4" t="inlineStr">
        <is>
          <t>A00000000242321</t>
        </is>
      </c>
      <c r="C4" t="inlineStr">
        <is>
          <t>FATURAMIZ</t>
        </is>
      </c>
      <c r="D4" s="1" t="n">
        <v>3960</v>
      </c>
      <c r="E4" s="17" t="inlineStr">
        <is>
          <t>BOBAJOY MEYVE SUYU Y.MERSİNİ 4KG KL/4AD (3.) x1; BOBAJOY MEYVE TOPLARI ÇİLEK 4KG KL/4AD (2.) x1</t>
        </is>
      </c>
      <c r="F4" s="18" t="n"/>
    </row>
    <row r="5">
      <c r="A5" s="16" t="n">
        <v>46050</v>
      </c>
      <c r="B5" t="inlineStr">
        <is>
          <t>A00000000242322</t>
        </is>
      </c>
      <c r="C5" t="inlineStr">
        <is>
          <t>FATURAMIZ</t>
        </is>
      </c>
      <c r="D5" s="1" t="n">
        <v>1980</v>
      </c>
      <c r="E5" s="17" t="inlineStr">
        <is>
          <t>BOBAJOY MEYVE SUYU TOPLARI FRAMBUAZ 4 KG KL/4AD x1</t>
        </is>
      </c>
      <c r="F5" s="18" t="n"/>
    </row>
    <row r="6">
      <c r="A6" s="16" t="n">
        <v>46051</v>
      </c>
      <c r="B6" t="inlineStr">
        <is>
          <t>A00000000242346</t>
        </is>
      </c>
      <c r="C6" t="inlineStr">
        <is>
          <t>FATURAMIZ</t>
        </is>
      </c>
      <c r="D6" s="1" t="n">
        <v>870</v>
      </c>
      <c r="E6" s="17" t="inlineStr">
        <is>
          <t>TEAJOY KONT.BAZ PLASTİK POMPASI x5</t>
        </is>
      </c>
      <c r="F6" s="18" t="n"/>
    </row>
    <row r="7">
      <c r="A7" s="16" t="n">
        <v>46055</v>
      </c>
      <c r="B7" t="inlineStr">
        <is>
          <t>A00000000242518</t>
        </is>
      </c>
      <c r="C7" t="inlineStr">
        <is>
          <t>FATURAMIZ</t>
        </is>
      </c>
      <c r="D7" s="1" t="n">
        <v>1190.25</v>
      </c>
      <c r="E7" s="17" t="inlineStr">
        <is>
          <t>PİPET KAĞIT BYZ BUBBLE 12X24 PK/75AD KL/14PK x10</t>
        </is>
      </c>
      <c r="F7" s="18" t="n"/>
    </row>
    <row r="8">
      <c r="A8" s="16" t="n">
        <v>46056</v>
      </c>
      <c r="B8" t="inlineStr">
        <is>
          <t>A00000000242620</t>
        </is>
      </c>
      <c r="C8" t="inlineStr">
        <is>
          <t>FATURAMIZ</t>
        </is>
      </c>
      <c r="D8" s="1" t="n">
        <v>11550</v>
      </c>
      <c r="E8" s="17" t="inlineStr">
        <is>
          <t>GUA İKİLİ TAŞIYICI PK/100 ADETLİ x1000</t>
        </is>
      </c>
      <c r="F8" s="18" t="n"/>
    </row>
    <row r="9">
      <c r="A9" s="16" t="n">
        <v>46063</v>
      </c>
      <c r="B9" t="inlineStr">
        <is>
          <t>A00000000243183</t>
        </is>
      </c>
      <c r="C9" t="inlineStr">
        <is>
          <t>FATURAMIZ</t>
        </is>
      </c>
      <c r="D9" s="1" t="n">
        <v>1291.13</v>
      </c>
      <c r="E9" s="17" t="inlineStr">
        <is>
          <t>TEAJOY KONT.BAZ PLASTİK POMPASI x4; PİPET KAĞIT BYZ BUBBLE 12X24 PK/75AD KL/14PK x5</t>
        </is>
      </c>
      <c r="F9" s="18" t="n"/>
    </row>
    <row r="10">
      <c r="A10" s="16" t="n">
        <v>46078</v>
      </c>
      <c r="B10" t="inlineStr">
        <is>
          <t>A00000000244577</t>
        </is>
      </c>
      <c r="C10" t="inlineStr">
        <is>
          <t>FATURAMIZ</t>
        </is>
      </c>
      <c r="D10" s="1" t="n">
        <v>33852</v>
      </c>
      <c r="E10" s="17" t="inlineStr">
        <is>
          <t>GUA RAMAZAN 14 OZ DW KARTON BARDAK KL/500AD x10000</t>
        </is>
      </c>
      <c r="F10" s="18" t="n"/>
    </row>
    <row r="11">
      <c r="A11" s="16" t="n">
        <v>46106</v>
      </c>
      <c r="B11" t="inlineStr">
        <is>
          <t>A00000000246358</t>
        </is>
      </c>
      <c r="C11" t="inlineStr">
        <is>
          <t>FATURAMIZ</t>
        </is>
      </c>
      <c r="D11" s="1" t="n">
        <v>6153.59</v>
      </c>
      <c r="E11" s="17" t="inlineStr">
        <is>
          <t>GUSSE MEY.PÜRE 1,1LT  YABAN MERSİNİ x1; BOBAJOY MEYVE SUYU TOPLARI YEŞİL ELMA 4KG KL/4AD (2.) x1; BOBAJOY MEYVE SUYU Y.MERSİNİ 4KG KL/4AD (3.) x1</t>
        </is>
      </c>
      <c r="F11" s="18" t="n"/>
    </row>
    <row r="12">
      <c r="A12" s="16" t="n">
        <v>46108</v>
      </c>
      <c r="B12" t="inlineStr">
        <is>
          <t>A00000000246493</t>
        </is>
      </c>
      <c r="C12" t="inlineStr">
        <is>
          <t>FATURAMIZ</t>
        </is>
      </c>
      <c r="D12" s="1" t="n">
        <v>5509.88</v>
      </c>
      <c r="E12" s="17" t="inlineStr">
        <is>
          <t>GUA BASKILI 22X11X28 KRAFT DÜZ SAP KL/300 x250; GUSSE MEY.PÜRE 1,1LT  BÖĞÜRTLEN x1</t>
        </is>
      </c>
      <c r="F12" s="18" t="n"/>
    </row>
    <row r="13">
      <c r="A13" s="16" t="n">
        <v>46108</v>
      </c>
      <c r="B13" t="inlineStr">
        <is>
          <t>A00000000246753</t>
        </is>
      </c>
      <c r="C13" t="inlineStr">
        <is>
          <t>FATURAMIZ</t>
        </is>
      </c>
      <c r="D13" s="1" t="n">
        <v>4158</v>
      </c>
      <c r="E13" s="17" t="inlineStr">
        <is>
          <t>GUSSE MEY.PÜRE 1,1LT  BÖĞÜRTLEN x6</t>
        </is>
      </c>
      <c r="F13" s="18" t="n"/>
    </row>
    <row r="14">
      <c r="A14" s="16" t="n">
        <v>46108</v>
      </c>
      <c r="B14" t="inlineStr">
        <is>
          <t>I00000000246861</t>
        </is>
      </c>
      <c r="C14" t="inlineStr">
        <is>
          <t>IADE FATURANIZ</t>
        </is>
      </c>
      <c r="D14" s="1" t="n">
        <v>-916.49</v>
      </c>
      <c r="E14" s="17" t="inlineStr">
        <is>
          <t>GUSSE MEY.PÜRE 1,1LT  YABAN MERSİNİ x1</t>
        </is>
      </c>
      <c r="F14" s="18" t="n"/>
    </row>
    <row r="15">
      <c r="A15" s="16" t="n">
        <v>46125</v>
      </c>
      <c r="B15" t="inlineStr">
        <is>
          <t>A00000000248046</t>
        </is>
      </c>
      <c r="C15" t="inlineStr">
        <is>
          <t>FATURAMIZ</t>
        </is>
      </c>
      <c r="D15" s="1" t="n">
        <v>8118</v>
      </c>
      <c r="E15" s="17" t="inlineStr">
        <is>
          <t>GUSSE MEY.PÜRE 1,1LT  BÖĞÜRTLEN x6; BOBAJOY MEYVE TOPLARI ÇİLEK 4KG KL/4AD (2.) x1; BOBAJOY MEYVE SUYU Y.MERSİNİ 4KG KL/4AD (3.) x1</t>
        </is>
      </c>
      <c r="F15" s="18" t="n"/>
    </row>
    <row r="16">
      <c r="A16" s="16" t="n">
        <v>46141</v>
      </c>
      <c r="B16" t="inlineStr">
        <is>
          <t>A00000000249366</t>
        </is>
      </c>
      <c r="C16" t="inlineStr">
        <is>
          <t>FATURAMIZ</t>
        </is>
      </c>
      <c r="D16" s="1" t="n">
        <v>7920</v>
      </c>
      <c r="E16" s="17" t="inlineStr">
        <is>
          <t>BOBAJOY TOPLARI MANGO 4KG KL/4AD (2.) x1; BOBAJOY MEYVE SUYU TOPLARI YEŞİL ELMA 4KG KL/4AD (2.) x1; BOBAJOY TOPLARI KARAMEL 4 KG KL/4AD (3.) x1; TEAJOY HYPE &amp; JOY (HİBİSKUS) 2,5 KG KL/4AD x2</t>
        </is>
      </c>
      <c r="F16" s="18" t="n"/>
    </row>
    <row r="17">
      <c r="A17" s="16" t="n">
        <v>46150</v>
      </c>
      <c r="B17" t="inlineStr">
        <is>
          <t>A00000000250156</t>
        </is>
      </c>
      <c r="C17" t="inlineStr">
        <is>
          <t>FATURAMIZ</t>
        </is>
      </c>
      <c r="D17" s="1" t="n">
        <v>3960</v>
      </c>
      <c r="E17" s="17" t="inlineStr">
        <is>
          <t>BOBAJOY MEYVE SUYU Y.MERSİNİ 4KG KL/4AD (3.) x2</t>
        </is>
      </c>
      <c r="F17" s="18" t="n"/>
    </row>
    <row r="18">
      <c r="A18" s="16" t="n">
        <v>46157</v>
      </c>
      <c r="B18" t="inlineStr">
        <is>
          <t>A00000000250895</t>
        </is>
      </c>
      <c r="C18" t="inlineStr">
        <is>
          <t>FATURAMIZ</t>
        </is>
      </c>
      <c r="D18" s="1" t="n">
        <v>5780.25</v>
      </c>
      <c r="E18" s="17" t="inlineStr">
        <is>
          <t>GUA BASKILI 22X11X28 KRAFT DÜZ SAP KL/300 x300</t>
        </is>
      </c>
      <c r="F18" s="18" t="n"/>
    </row>
    <row r="19">
      <c r="A19" s="16" t="n">
        <v>46162</v>
      </c>
      <c r="B19" t="inlineStr">
        <is>
          <t>A00000000251139</t>
        </is>
      </c>
      <c r="C19" t="inlineStr">
        <is>
          <t>FATURAMIZ</t>
        </is>
      </c>
      <c r="D19" s="1" t="n">
        <v>8910</v>
      </c>
      <c r="E19" s="17" t="inlineStr">
        <is>
          <t>BOBAJOY TOPLARI KARAMEL 4 KG KL/4AD (3.) x1; BOBAJOY MEYVE TOPLARI ÇİLEK 4KG KL/4AD (2.) x1; BOBAJOY TOPLARI MANGO 4KG KL/4AD (2.) x1; TEAJOY HYPE &amp; JOY (HİBİSKUS) 2,5 KG KL/4AD x1; BOBAJOY MEYVE SUYU TOPLARI FRAMBUAZ 4 KG KL/4AD x1</t>
        </is>
      </c>
      <c r="F19" s="18" t="n"/>
    </row>
    <row r="20">
      <c r="A20" s="16" t="n">
        <v>46162</v>
      </c>
      <c r="B20" t="inlineStr">
        <is>
          <t>A00000000251140</t>
        </is>
      </c>
      <c r="C20" t="inlineStr">
        <is>
          <t>FATURAMIZ</t>
        </is>
      </c>
      <c r="D20" s="1" t="n">
        <v>1980</v>
      </c>
      <c r="E20" s="17" t="inlineStr">
        <is>
          <t>TEAJOY MR.ORGO (MANGO&amp;PRTKL) 2,5 KG KL/4AD x1; TEAJOY HYPE &amp; JOY (HİBİSKUS) 2,5 KG KL/4AD x1</t>
        </is>
      </c>
      <c r="F20" s="18" t="n"/>
    </row>
    <row r="21">
      <c r="A21" s="16" t="n">
        <v>46185</v>
      </c>
      <c r="B21" t="inlineStr">
        <is>
          <t>A00000000252956</t>
        </is>
      </c>
      <c r="C21" t="inlineStr">
        <is>
          <t>FATURAMIZ</t>
        </is>
      </c>
      <c r="D21" s="1" t="n">
        <v>1980</v>
      </c>
      <c r="E21" s="17" t="inlineStr">
        <is>
          <t>BOBAJOY MEYVE SUYU Y.MERSİNİ 4KG KL/4AD (3.) x1</t>
        </is>
      </c>
      <c r="F21" s="18" t="n"/>
    </row>
    <row r="22">
      <c r="A22" s="16" t="n">
        <v>46196</v>
      </c>
      <c r="B22" t="inlineStr">
        <is>
          <t>A00000000253718</t>
        </is>
      </c>
      <c r="C22" t="inlineStr">
        <is>
          <t>FATURAMIZ</t>
        </is>
      </c>
      <c r="D22" s="1" t="n">
        <v>9900</v>
      </c>
      <c r="E22" s="17" t="inlineStr">
        <is>
          <t>BOBAJOY MEYVE TOPLARI ÇİLEK 4KG KL/4AD (2.) x1; BOBAJOY TOPLARI KARAMEL 4 KG KL/4AD (3.) x1; BOBAJOY MEYVE SUYU Y.MERSİNİ 4KG KL/4AD (3.) x1; BOBAJOY TOPLARI MANGO 4KG KL/4AD (2.) x1; TEAJOY HYPE &amp; JOY (HİBİSKUS) 2,5 KG KL/4AD x2</t>
        </is>
      </c>
      <c r="F22" s="18" t="n"/>
    </row>
    <row r="23">
      <c r="A23" s="16" t="n">
        <v>46199</v>
      </c>
      <c r="B23" t="inlineStr">
        <is>
          <t>A00000000254148</t>
        </is>
      </c>
      <c r="C23" t="inlineStr">
        <is>
          <t>FATURAMIZ</t>
        </is>
      </c>
      <c r="D23" s="1" t="n">
        <v>1980</v>
      </c>
      <c r="E23" s="17" t="inlineStr">
        <is>
          <t>TEAJOY HYPE &amp; JOY (HİBİSKUS) 2,5 KG KL/4AD x2</t>
        </is>
      </c>
      <c r="F23" s="18" t="n"/>
    </row>
    <row r="24">
      <c r="A24" s="16" t="n">
        <v>46207</v>
      </c>
      <c r="B24" t="inlineStr">
        <is>
          <t>A00000000254821</t>
        </is>
      </c>
      <c r="C24" t="inlineStr">
        <is>
          <t>FATURAMIZ</t>
        </is>
      </c>
      <c r="D24" s="1" t="n">
        <v>19469.6</v>
      </c>
      <c r="E24" s="17" t="inlineStr">
        <is>
          <t>BOBAJOY MEYVE SUYU TOPLARI YEŞİL ELMA 4KG KL/4AD (2.) x1; BOBAJOY TOPLARI MANGO 4KG KL/4AD (2.) x1; BOBAJOY MEYVE SUYU Y.MERSİNİ 4KG KL/4AD (3.) x1; TEAJOY HYPE &amp; JOY (HİBİSKUS) 2,5 KG KL/4AD x1; BİO PİPET BEYAZ 7X22  PK/250AD KL/20 PK x40</t>
        </is>
      </c>
      <c r="F24" s="18" t="n"/>
    </row>
    <row r="25">
      <c r="A25" s="16" t="n">
        <v>46210</v>
      </c>
      <c r="B25" t="inlineStr">
        <is>
          <t>A00000000254951</t>
        </is>
      </c>
      <c r="C25" t="inlineStr">
        <is>
          <t>FATURAMIZ</t>
        </is>
      </c>
      <c r="D25" s="1" t="n">
        <v>12992</v>
      </c>
      <c r="E25" s="17" t="inlineStr">
        <is>
          <t>BİO PİPET BEYAZ 8X24 SARGILI PK/250AD KL/20 x40</t>
        </is>
      </c>
      <c r="F25" s="18" t="n"/>
    </row>
    <row r="26">
      <c r="A26" s="16" t="n">
        <v>46217</v>
      </c>
      <c r="B26" t="inlineStr">
        <is>
          <t>I00000000255472</t>
        </is>
      </c>
      <c r="C26" t="inlineStr">
        <is>
          <t>IADE FATURANIZ</t>
        </is>
      </c>
      <c r="D26" s="1" t="n">
        <v>-12539.6</v>
      </c>
      <c r="E26" s="17" t="inlineStr">
        <is>
          <t>BİO PİPET BEYAZ 7X22  PK/250AD KL/20 PK x40</t>
        </is>
      </c>
      <c r="F26" s="18" t="n"/>
    </row>
    <row r="27">
      <c r="A27" s="16" t="n">
        <v>46223</v>
      </c>
      <c r="B27" t="inlineStr">
        <is>
          <t>A00000000255781</t>
        </is>
      </c>
      <c r="C27" t="inlineStr">
        <is>
          <t>FATURAMIZ</t>
        </is>
      </c>
      <c r="D27" s="1" t="n">
        <v>14250</v>
      </c>
      <c r="E27" s="17" t="inlineStr">
        <is>
          <t>GUA BASKILI 22X11X28 KRAFT DÜZ SAP KL/300 x600; BOBAJOY MEYVE TOPLARI ÇİLEK 4KG KL/4AD (2.) x1; BOBAJOY TOPLARI KARAMEL 4 KG KL/4AD (3.) x1; TEAJOY HYPE &amp; JOY (HİBİSKUS) 2,5 KG KL/4AD x3; TEAJOY MR.ORGO (MANGO&amp;PRTKL) 2,5 KG KL/4AD x2</t>
        </is>
      </c>
      <c r="F27" s="18" t="n"/>
    </row>
    <row r="28">
      <c r="A28" s="16" t="n">
        <v>46223</v>
      </c>
      <c r="B28" t="inlineStr">
        <is>
          <t>A00000000255791</t>
        </is>
      </c>
      <c r="C28" t="inlineStr">
        <is>
          <t>FATURAMIZ</t>
        </is>
      </c>
      <c r="D28" s="1" t="n">
        <v>495</v>
      </c>
      <c r="E28" s="17" t="inlineStr">
        <is>
          <t>BOBAJOY MEYVE SUYU TOPLARI Y.MERSİNİ 1KG KL/12AD x1</t>
        </is>
      </c>
      <c r="F28" s="18" t="n"/>
    </row>
    <row r="29">
      <c r="A29" s="16" t="n">
        <v>46230</v>
      </c>
      <c r="B29" t="inlineStr">
        <is>
          <t>A00000000256524</t>
        </is>
      </c>
      <c r="C29" t="inlineStr">
        <is>
          <t>FATURAMIZ</t>
        </is>
      </c>
      <c r="D29" s="1" t="n">
        <v>4640</v>
      </c>
      <c r="E29" s="17" t="inlineStr">
        <is>
          <t>PİPET KAĞIT BEYAZ 12X21 SARGILI PK/200AD KL/10PK x10</t>
        </is>
      </c>
      <c r="F29" s="18" t="n"/>
    </row>
    <row r="30">
      <c r="A30" s="16" t="n">
        <v>46240</v>
      </c>
      <c r="B30" t="inlineStr">
        <is>
          <t>A00000000257286</t>
        </is>
      </c>
      <c r="C30" t="inlineStr">
        <is>
          <t>FATURAMIZ</t>
        </is>
      </c>
      <c r="D30" s="1" t="n">
        <v>1848</v>
      </c>
      <c r="E30" s="17" t="inlineStr">
        <is>
          <t>TEAJOY MR.ORGO (MANGO&amp;PRTKL) 2,5 KG KL/4AD x1; TEAJOY HYPE &amp; JOY (HİBİSKUS) 2,5 KG KL/4AD x1</t>
        </is>
      </c>
      <c r="F30" s="18" t="n"/>
    </row>
    <row r="31">
      <c r="A31" s="16" t="n">
        <v>46245</v>
      </c>
      <c r="B31" t="inlineStr">
        <is>
          <t>A00000000257723</t>
        </is>
      </c>
      <c r="C31" t="inlineStr">
        <is>
          <t>FATURAMIZ</t>
        </is>
      </c>
      <c r="D31" s="1" t="n">
        <v>5940</v>
      </c>
      <c r="E31" s="17" t="inlineStr">
        <is>
          <t>BOBAJOY TOPLARI KARAMEL 4 KG KL/4AD (3.) x2; BOBAJOY MEYVE TOPLARI ÇİLEK 4KG KL/4AD (2.) x1</t>
        </is>
      </c>
      <c r="F31" s="18" t="n"/>
    </row>
    <row r="32">
      <c r="A32" s="16" t="n">
        <v>46262</v>
      </c>
      <c r="B32" t="inlineStr">
        <is>
          <t>A00000000259067</t>
        </is>
      </c>
      <c r="C32" t="inlineStr">
        <is>
          <t>FATURAMIZ</t>
        </is>
      </c>
      <c r="D32" s="1" t="n">
        <v>7920</v>
      </c>
      <c r="E32" s="17" t="inlineStr">
        <is>
          <t>BOBAJOY MEYVE TOPLARI ÇİLEK 4KG KL/4AD (2.) x1; BOBAJOY MEYVE SUYU TOPLARI MANGO 4KG KL/4AD x1; BOBAJOY MEYVE SUYU Y.MERSİNİ 4KG KL/4AD (3.) x1; BOBAJOY MEYVE SUYU TOPLARI YEŞİL ELMA 4KG KL/4AD (2.) x1</t>
        </is>
      </c>
      <c r="F32" s="18" t="n"/>
    </row>
    <row r="33">
      <c r="A33" s="16" t="n">
        <v>46263</v>
      </c>
      <c r="B33" t="inlineStr">
        <is>
          <t>A00000000259115</t>
        </is>
      </c>
      <c r="C33" t="inlineStr">
        <is>
          <t>FATURAMIZ</t>
        </is>
      </c>
      <c r="D33" s="1" t="n">
        <v>1848</v>
      </c>
      <c r="E33" s="17" t="inlineStr">
        <is>
          <t>TEAJOY HYPE &amp; JOY (HİBİSKUS) 2,5 KG KL/4AD x2</t>
        </is>
      </c>
      <c r="F33" s="18" t="n"/>
    </row>
    <row r="34">
      <c r="A34" s="16" t="n">
        <v>46263</v>
      </c>
      <c r="B34" t="inlineStr">
        <is>
          <t>A00000000259123</t>
        </is>
      </c>
      <c r="C34" t="inlineStr">
        <is>
          <t>FATURAMIZ</t>
        </is>
      </c>
      <c r="D34" s="1" t="n">
        <v>20481.41</v>
      </c>
      <c r="E34" s="17" t="inlineStr">
        <is>
          <t>BOBAJOY MEYVE SUYU Y.MERSİNİ 4KG KL/4AD (3.) x2; BOBAJOY MEYVE SUYU TOPLARI MANGO 4KG KL/4AD x1; BİO PİPET BEYAZ 8X24 SARGILI PK/250AD KL/20 x40; TEAJOY MR.ORGO (MANGO&amp;PRTKL) 2,5 KG KL/4AD x2</t>
        </is>
      </c>
      <c r="F34" s="18" t="n"/>
    </row>
    <row r="35">
      <c r="A35" s="16" t="n">
        <v>46266</v>
      </c>
      <c r="B35" t="inlineStr">
        <is>
          <t>A00000000259190</t>
        </is>
      </c>
      <c r="C35" t="inlineStr">
        <is>
          <t>FATURAMIZ</t>
        </is>
      </c>
      <c r="D35" s="1" t="n">
        <v>13285</v>
      </c>
      <c r="E35" s="17" t="inlineStr">
        <is>
          <t>BOBAJOY MEYVE TOPLARI ÇİLEK 4KG KL/4AD (2.) x1; BOBAJOY MEYVE SUYU Y.MERSİNİ 4KG KL/4AD (3.) x1; BOBAJOY MEYVE SUYU TOPLARI YEŞİL ELMA 4KG KL/4AD (2.) x1; BOBAJOY MEYVE SUYU TOPLARI MANGO 4KG KL/4AD x1; BİO PİPET BEYAZ 6X23 SARGILI PK/200AD KL/25 x25</t>
        </is>
      </c>
      <c r="F35" s="18" t="n"/>
    </row>
    <row r="36">
      <c r="A36" s="16" t="n">
        <v>46315</v>
      </c>
      <c r="B36" t="inlineStr">
        <is>
          <t>A00000000263425</t>
        </is>
      </c>
      <c r="C36" t="inlineStr">
        <is>
          <t>FATURAMIZ</t>
        </is>
      </c>
      <c r="D36" s="1" t="n">
        <v>3555</v>
      </c>
      <c r="E36" s="17" t="inlineStr">
        <is>
          <t>BOBAJOY TOPLARI KARAMEL 4 KG KL/4AD (3.) x1; 14 OZ BEYAZ DÜZ KAPAK KL/1000 x1000</t>
        </is>
      </c>
      <c r="F36" s="18" t="n"/>
    </row>
    <row r="38">
      <c r="C38" s="9" t="inlineStr">
        <is>
          <t>TOPLAM (net)</t>
        </is>
      </c>
      <c r="D38" s="1">
        <f>SUM(D4:D36)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Esin Yüksel</dc:creator>
  <dcterms:created xmlns:dcterms="http://purl.org/dc/terms/" xmlns:xsi="http://www.w3.org/2001/XMLSchema-instance" xsi:type="dcterms:W3CDTF">2026-10-30T15:00:27Z</dcterms:created>
  <dcterms:modified xmlns:dcterms="http://purl.org/dc/terms/" xmlns:xsi="http://www.w3.org/2001/XMLSchema-instance" xsi:type="dcterms:W3CDTF">2026-10-30T18:04:38Z</dcterms:modified>
  <cp:lastModifiedBy>Esin Yüksel</cp:lastModifiedBy>
</cp:coreProperties>
</file>