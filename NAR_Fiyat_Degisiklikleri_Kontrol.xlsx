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yat Değişimleri" sheetId="2" state="visible" r:id="rId2"/>
    <sheet xmlns:r="http://schemas.openxmlformats.org/officeDocument/2006/relationships" name="Fiyat Farkı Adayları" sheetId="3" state="visible" r:id="rId3"/>
    <sheet xmlns:r="http://schemas.openxmlformats.org/officeDocument/2006/relationships" name="Kur Sapması" sheetId="4" state="visible" r:id="rId4"/>
    <sheet xmlns:r="http://schemas.openxmlformats.org/officeDocument/2006/relationships" name="Ürün Özeti" sheetId="5" state="visible" r:id="rId5"/>
    <sheet xmlns:r="http://schemas.openxmlformats.org/officeDocument/2006/relationships" name="Tüm Fatura Satırları" sheetId="6" state="visible" r:id="rId6"/>
  </sheets>
  <definedNames>
    <definedName name="_xlnm._FilterDatabase" localSheetId="1" hidden="1">'Fiyat Değişimleri'!$A$1:$P$76</definedName>
    <definedName name="_xlnm._FilterDatabase" localSheetId="2" hidden="1">'Fiyat Farkı Adayları'!$A$1:$N$17</definedName>
    <definedName name="_xlnm._FilterDatabase" localSheetId="3" hidden="1">'Kur Sapması'!$A$1:$L$3</definedName>
    <definedName name="_xlnm._FilterDatabase" localSheetId="4" hidden="1">'Ürün Özeti'!$A$1:$N$89</definedName>
    <definedName name="_xlnm._FilterDatabase" localSheetId="5" hidden="1">'Tüm Fatura Satırları'!$A$1:$M$304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.mm.yyyy"/>
    <numFmt numFmtId="166" formatCode="#,##0.##"/>
    <numFmt numFmtId="167" formatCode="#,##0.0000"/>
    <numFmt numFmtId="168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4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3" borderId="0" pivotButton="0" quotePrefix="0" xfId="0"/>
    <xf numFmtId="4" fontId="0" fillId="0" borderId="0" pivotButton="0" quotePrefix="0" xfId="0"/>
    <xf numFmtId="0" fontId="0" fillId="4" borderId="0" pivotButton="0" quotePrefix="0" xfId="0"/>
    <xf numFmtId="4" fontId="2" fillId="0" borderId="0" pivotButton="0" quotePrefix="0" xfId="0"/>
    <xf numFmtId="2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05" customWidth="1" min="2" max="2"/>
  </cols>
  <sheetData>
    <row r="1">
      <c r="A1" s="1" t="inlineStr">
        <is>
          <t>NAR / N.M &amp; SONS BAKERY (AL3114) - Fiyat Değişikliği Kontrolü</t>
        </is>
      </c>
      <c r="B1" t="inlineStr"/>
    </row>
    <row r="2">
      <c r="A2" s="2" t="inlineStr">
        <is>
          <t>Kapsam</t>
        </is>
      </c>
      <c r="B2" s="3" t="inlineStr">
        <is>
          <t>68 fatura, 303 satır, 88 ürün; tarih aralığı 01.07.2026 - 20.10.2026 (sadece "FATURAMIZ" hareketleri).</t>
        </is>
      </c>
    </row>
    <row r="3">
      <c r="A3" s="2" t="inlineStr">
        <is>
          <t>Karşılaştırılan fiyat</t>
        </is>
      </c>
      <c r="B3" s="3" t="inlineStr">
        <is>
          <t>"Net Fiyat" (KDV hariç). M/C serisi belgelerde brüt fiyat KDV dahil girilmiş, net KDV hariç olduğundan net esas alındı.</t>
        </is>
      </c>
    </row>
    <row r="4">
      <c r="A4" s="2" t="inlineStr">
        <is>
          <t>Kur dönemleri (faturalardan çıkarıldı)</t>
        </is>
      </c>
      <c r="B4" s="3" t="inlineStr">
        <is>
          <t>47: 01.07-14.07 | 48: 15.07-01.09 | 49: 02.09-12.10 | 50: 13.10 ve sonrası. Fiyatlar USD liste fiyatı x kur şeklinde. Kur değişim tarihleri ilk uygulanan faturaya göre; geçerlilik tarihlerini sözleşme/yazışmadan teyit edin.</t>
        </is>
      </c>
    </row>
    <row r="5">
      <c r="A5" s="2" t="inlineStr">
        <is>
          <t>Fiyat Değişimleri sayfası</t>
        </is>
      </c>
      <c r="B5" s="3" t="inlineStr">
        <is>
          <t>Her ürün için ardışık faturalar arasında net fiyatı %0,3 üzerinde değişen tüm noktalar (tarih, fatura, miktar, fark, neden). Tek tek yuvarlama farkları listelenmedi.</t>
        </is>
      </c>
    </row>
    <row r="6">
      <c r="A6" s="2" t="inlineStr">
        <is>
          <t>Fiyat Farkı Adayları sayfası</t>
        </is>
      </c>
      <c r="B6" s="3" t="inlineStr">
        <is>
          <t>Aynı kur döneminde, aynı ürünün daha önce kesilmiş daha yüksek net fiyatının ALTINDA kesilen satırlar. Fark = (referans fiyat - faturalanan) x miktar. Yeni fiyat geçerlilik tarihinden ÖNCE kesilen faturalara fark çıkarılmadı (tarih sırası korundu). Referansı sonradan gerçekten düşürülen/iskontolu fiyatlar varsa o satırlar için fatura kesmeyin.</t>
        </is>
      </c>
    </row>
    <row r="7">
      <c r="A7" s="2" t="inlineStr">
        <is>
          <t>Kur Sapması sayfası</t>
        </is>
      </c>
      <c r="B7" s="3" t="inlineStr">
        <is>
          <t>Dönem kurundan farklı kurla kesilmiş USD fiyatlı satırlar (ZV002 ve BBT285 dönem kurundan yüksek kurla kesilmiş = fazla fatura; iade/düzeltme gerekebilir).</t>
        </is>
      </c>
    </row>
    <row r="8">
      <c r="A8" s="2" t="inlineStr">
        <is>
          <t>Dikkat</t>
        </is>
      </c>
      <c r="B8" s="3" t="inlineStr">
        <is>
          <t>Liste fiyatı gerçekten değişen ürünlerde (örn. MRK002 18.08, RBK006/RBK007 18.08 düşüş, BRG010 01.10 düşüş) önceki faturalar eski geçerli fiyatla doğru kesilmiş olabilir; bunlar "Fiyat Değişimleri"nde görünür, fark adayı değildir.</t>
        </is>
      </c>
    </row>
    <row r="10">
      <c r="A10" s="4" t="inlineStr">
        <is>
          <t>Toplam fiyat farkı adayı (TL, KDV hariç)</t>
        </is>
      </c>
      <c r="B10" s="5">
        <f>'Fiyat Farkı Adayları'!M19</f>
        <v/>
      </c>
    </row>
    <row r="11">
      <c r="A11" s="4" t="inlineStr">
        <is>
          <t>Kur sapması toplamı (TL)</t>
        </is>
      </c>
      <c r="B11" s="5">
        <f>SUM('Kur Sapması'!L2:L3)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12" customWidth="1" min="3" max="3"/>
    <col width="17" customWidth="1" min="4" max="4"/>
    <col width="9" customWidth="1" min="5" max="5"/>
    <col width="12" customWidth="1" min="6" max="6"/>
    <col width="12" customWidth="1" min="7" max="7"/>
    <col width="17" customWidth="1" min="8" max="8"/>
    <col width="9" customWidth="1" min="9" max="9"/>
    <col width="12" customWidth="1" min="10" max="10"/>
    <col width="12" customWidth="1" min="11" max="11"/>
    <col width="9" customWidth="1" min="12" max="12"/>
    <col width="8" customWidth="1" min="13" max="13"/>
    <col width="38" customWidth="1" min="14" max="14"/>
    <col width="8" customWidth="1" min="15" max="15"/>
    <col width="16" customWidth="1" min="16" max="16"/>
  </cols>
  <sheetData>
    <row r="1" ht="42" customHeight="1">
      <c r="A1" s="6" t="inlineStr">
        <is>
          <t>Stok Kodu</t>
        </is>
      </c>
      <c r="B1" s="6" t="inlineStr">
        <is>
          <t>Stok Adı</t>
        </is>
      </c>
      <c r="C1" s="6" t="inlineStr">
        <is>
          <t>Önceki Fatura Tarihi</t>
        </is>
      </c>
      <c r="D1" s="6" t="inlineStr">
        <is>
          <t>Önceki Fatura No</t>
        </is>
      </c>
      <c r="E1" s="6" t="inlineStr">
        <is>
          <t>Önceki Miktar</t>
        </is>
      </c>
      <c r="F1" s="6" t="inlineStr">
        <is>
          <t>Önceki Net Fiyat</t>
        </is>
      </c>
      <c r="G1" s="6" t="inlineStr">
        <is>
          <t>Yeni Fatura Tarihi</t>
        </is>
      </c>
      <c r="H1" s="6" t="inlineStr">
        <is>
          <t>Yeni Fatura No</t>
        </is>
      </c>
      <c r="I1" s="6" t="inlineStr">
        <is>
          <t>Yeni Miktar</t>
        </is>
      </c>
      <c r="J1" s="6" t="inlineStr">
        <is>
          <t>Yeni Net Fiyat</t>
        </is>
      </c>
      <c r="K1" s="6" t="inlineStr">
        <is>
          <t>Fark (TL/birim)</t>
        </is>
      </c>
      <c r="L1" s="6" t="inlineStr">
        <is>
          <t>Fark %</t>
        </is>
      </c>
      <c r="M1" s="6" t="inlineStr">
        <is>
          <t>Yön</t>
        </is>
      </c>
      <c r="N1" s="6" t="inlineStr">
        <is>
          <t>Neden</t>
        </is>
      </c>
      <c r="O1" s="6" t="inlineStr">
        <is>
          <t>Kur Dönemi</t>
        </is>
      </c>
      <c r="P1" s="6" t="inlineStr">
        <is>
          <t>Yeni Faturada Toplam Etki (Miktar x Fark)</t>
        </is>
      </c>
    </row>
    <row r="2">
      <c r="A2" t="inlineStr">
        <is>
          <t>MC01</t>
        </is>
      </c>
      <c r="B2" t="inlineStr">
        <is>
          <t>ÇATAL NİŞASTA BİO 165MM PK/100AD KL/16PK</t>
        </is>
      </c>
      <c r="C2" s="7" t="n">
        <v>46210</v>
      </c>
      <c r="D2" t="inlineStr">
        <is>
          <t>A00000000255017</t>
        </is>
      </c>
      <c r="E2" s="8" t="n">
        <v>32</v>
      </c>
      <c r="F2" s="9" t="n">
        <v>162.15</v>
      </c>
      <c r="G2" s="7" t="n">
        <v>46218</v>
      </c>
      <c r="H2" t="inlineStr">
        <is>
          <t>A00000000255479</t>
        </is>
      </c>
      <c r="I2" s="8" t="n">
        <v>16</v>
      </c>
      <c r="J2" s="9" t="n">
        <v>165.6</v>
      </c>
      <c r="K2" s="9">
        <f>J2-F2</f>
        <v/>
      </c>
      <c r="L2" s="10">
        <f>K2/F2</f>
        <v/>
      </c>
      <c r="M2" s="11">
        <f>IF(K2&gt;0,"Artış","Düşüş")</f>
        <v/>
      </c>
      <c r="N2" t="inlineStr">
        <is>
          <t>Kur dönemi değişti (47→48)</t>
        </is>
      </c>
      <c r="O2" t="n">
        <v>48</v>
      </c>
      <c r="P2" s="12">
        <f>I2*K2</f>
        <v/>
      </c>
    </row>
    <row r="3">
      <c r="A3" t="inlineStr">
        <is>
          <t>MC03</t>
        </is>
      </c>
      <c r="B3" t="inlineStr">
        <is>
          <t>BIÇAK NİŞASTA BİO 161MM PK/100AD KL/16PK</t>
        </is>
      </c>
      <c r="C3" s="7" t="n">
        <v>46206</v>
      </c>
      <c r="D3" t="inlineStr">
        <is>
          <t>A00000000254579</t>
        </is>
      </c>
      <c r="E3" s="8" t="n">
        <v>16</v>
      </c>
      <c r="F3" s="9" t="n">
        <v>129.72</v>
      </c>
      <c r="G3" s="7" t="n">
        <v>46218</v>
      </c>
      <c r="H3" t="inlineStr">
        <is>
          <t>A00000000255479</t>
        </is>
      </c>
      <c r="I3" s="8" t="n">
        <v>16</v>
      </c>
      <c r="J3" s="9" t="n">
        <v>132.48</v>
      </c>
      <c r="K3" s="9">
        <f>J3-F3</f>
        <v/>
      </c>
      <c r="L3" s="10">
        <f>K3/F3</f>
        <v/>
      </c>
      <c r="M3" s="11">
        <f>IF(K3&gt;0,"Artış","Düşüş")</f>
        <v/>
      </c>
      <c r="N3" t="inlineStr">
        <is>
          <t>Kur dönemi değişti (47→48)</t>
        </is>
      </c>
      <c r="O3" t="n">
        <v>48</v>
      </c>
      <c r="P3" s="12">
        <f>I3*K3</f>
        <v/>
      </c>
    </row>
    <row r="4">
      <c r="A4" t="inlineStr">
        <is>
          <t>MTP055</t>
        </is>
      </c>
      <c r="B4" t="inlineStr">
        <is>
          <t>LD 06 BOMBE KAPAK PK/60AD KL/10PK</t>
        </is>
      </c>
      <c r="C4" s="7" t="n">
        <v>46204</v>
      </c>
      <c r="D4" t="inlineStr">
        <is>
          <t>A00000000254474</t>
        </is>
      </c>
      <c r="E4" s="8" t="n">
        <v>1200</v>
      </c>
      <c r="F4" s="9" t="n">
        <v>1.7837</v>
      </c>
      <c r="G4" s="7" t="n">
        <v>46218</v>
      </c>
      <c r="H4" t="inlineStr">
        <is>
          <t>A00000000255479</t>
        </is>
      </c>
      <c r="I4" s="8" t="n">
        <v>1200</v>
      </c>
      <c r="J4" s="9" t="n">
        <v>1.8216</v>
      </c>
      <c r="K4" s="9">
        <f>J4-F4</f>
        <v/>
      </c>
      <c r="L4" s="10">
        <f>K4/F4</f>
        <v/>
      </c>
      <c r="M4" s="11">
        <f>IF(K4&gt;0,"Artış","Düşüş")</f>
        <v/>
      </c>
      <c r="N4" t="inlineStr">
        <is>
          <t>Kur dönemi değişti (47→48)</t>
        </is>
      </c>
      <c r="O4" t="n">
        <v>48</v>
      </c>
      <c r="P4" s="12">
        <f>I4*K4</f>
        <v/>
      </c>
    </row>
    <row r="5">
      <c r="A5" t="inlineStr">
        <is>
          <t>MTP163</t>
        </is>
      </c>
      <c r="B5" t="inlineStr">
        <is>
          <t>DC 03 AYAKLI KASE 200 ML PK/30AD KL/20PK</t>
        </is>
      </c>
      <c r="C5" s="7" t="n">
        <v>46204</v>
      </c>
      <c r="D5" t="inlineStr">
        <is>
          <t>A00000000254474</t>
        </is>
      </c>
      <c r="E5" s="8" t="n">
        <v>1800</v>
      </c>
      <c r="F5" s="9" t="n">
        <v>6.11</v>
      </c>
      <c r="G5" s="7" t="n">
        <v>46218</v>
      </c>
      <c r="H5" t="inlineStr">
        <is>
          <t>A00000000255479</t>
        </is>
      </c>
      <c r="I5" s="8" t="n">
        <v>1200</v>
      </c>
      <c r="J5" s="9" t="n">
        <v>6.24</v>
      </c>
      <c r="K5" s="9">
        <f>J5-F5</f>
        <v/>
      </c>
      <c r="L5" s="10">
        <f>K5/F5</f>
        <v/>
      </c>
      <c r="M5" s="11">
        <f>IF(K5&gt;0,"Artış","Düşüş")</f>
        <v/>
      </c>
      <c r="N5" t="inlineStr">
        <is>
          <t>Kur dönemi değişti (47→48)</t>
        </is>
      </c>
      <c r="O5" t="n">
        <v>48</v>
      </c>
      <c r="P5" s="12">
        <f>I5*K5</f>
        <v/>
      </c>
    </row>
    <row r="6">
      <c r="A6" t="inlineStr">
        <is>
          <t>PCK00203</t>
        </is>
      </c>
      <c r="B6" t="inlineStr">
        <is>
          <t>PİŞİRME 40X60 TABAKA 500 ADETLİ DR PACK 5,24KG/PK</t>
        </is>
      </c>
      <c r="C6" s="7" t="n">
        <v>46210</v>
      </c>
      <c r="D6" t="inlineStr">
        <is>
          <t>A00000000255017</t>
        </is>
      </c>
      <c r="E6" s="8" t="n">
        <v>10</v>
      </c>
      <c r="F6" s="9" t="n">
        <v>1654.87</v>
      </c>
      <c r="G6" s="7" t="n">
        <v>46218</v>
      </c>
      <c r="H6" t="inlineStr">
        <is>
          <t>A00000000255479</t>
        </is>
      </c>
      <c r="I6" s="8" t="n">
        <v>8</v>
      </c>
      <c r="J6" s="9" t="n">
        <v>1690.08</v>
      </c>
      <c r="K6" s="9">
        <f>J6-F6</f>
        <v/>
      </c>
      <c r="L6" s="10">
        <f>K6/F6</f>
        <v/>
      </c>
      <c r="M6" s="11">
        <f>IF(K6&gt;0,"Artış","Düşüş")</f>
        <v/>
      </c>
      <c r="N6" t="inlineStr">
        <is>
          <t>Kur dönemi değişti (47→48)</t>
        </is>
      </c>
      <c r="O6" t="n">
        <v>48</v>
      </c>
      <c r="P6" s="12">
        <f>I6*K6</f>
        <v/>
      </c>
    </row>
    <row r="7">
      <c r="A7" t="inlineStr">
        <is>
          <t>PL001</t>
        </is>
      </c>
      <c r="B7" t="inlineStr">
        <is>
          <t>300 ML ŞEFFAF KARE PET ŞİŞE 19,5GR+KAPAK PK/50AD</t>
        </is>
      </c>
      <c r="C7" s="7" t="n">
        <v>46210</v>
      </c>
      <c r="D7" t="inlineStr">
        <is>
          <t>A00000000255017</t>
        </is>
      </c>
      <c r="E7" s="8" t="n">
        <v>300</v>
      </c>
      <c r="F7" s="9" t="n">
        <v>10.2225</v>
      </c>
      <c r="G7" s="7" t="n">
        <v>46218</v>
      </c>
      <c r="H7" t="inlineStr">
        <is>
          <t>A00000000255479</t>
        </is>
      </c>
      <c r="I7" s="8" t="n">
        <v>200</v>
      </c>
      <c r="J7" s="9" t="n">
        <v>14.88</v>
      </c>
      <c r="K7" s="9">
        <f>J7-F7</f>
        <v/>
      </c>
      <c r="L7" s="10">
        <f>K7/F7</f>
        <v/>
      </c>
      <c r="M7" s="11">
        <f>IF(K7&gt;0,"Artış","Düşüş")</f>
        <v/>
      </c>
      <c r="N7" t="inlineStr">
        <is>
          <t>Kur 47→48 + döviz fiyatı değişti</t>
        </is>
      </c>
      <c r="O7" t="n">
        <v>48</v>
      </c>
      <c r="P7" s="12">
        <f>I7*K7</f>
        <v/>
      </c>
    </row>
    <row r="8">
      <c r="A8" t="inlineStr">
        <is>
          <t>RBK006</t>
        </is>
      </c>
      <c r="B8" t="inlineStr">
        <is>
          <t>KRİSTAL KARE KASE 300ML SB.D11 PK/12 KL/288 AD</t>
        </is>
      </c>
      <c r="C8" s="7" t="n">
        <v>46210</v>
      </c>
      <c r="D8" t="inlineStr">
        <is>
          <t>A00000000255017</t>
        </is>
      </c>
      <c r="E8" s="8" t="n">
        <v>576</v>
      </c>
      <c r="F8" s="9" t="n">
        <v>10.81</v>
      </c>
      <c r="G8" s="7" t="n">
        <v>46218</v>
      </c>
      <c r="H8" t="inlineStr">
        <is>
          <t>A00000000255479</t>
        </is>
      </c>
      <c r="I8" s="8" t="n">
        <v>576</v>
      </c>
      <c r="J8" s="9" t="n">
        <v>11.04</v>
      </c>
      <c r="K8" s="9">
        <f>J8-F8</f>
        <v/>
      </c>
      <c r="L8" s="10">
        <f>K8/F8</f>
        <v/>
      </c>
      <c r="M8" s="11">
        <f>IF(K8&gt;0,"Artış","Düşüş")</f>
        <v/>
      </c>
      <c r="N8" t="inlineStr">
        <is>
          <t>Kur dönemi değişti (47→48)</t>
        </is>
      </c>
      <c r="O8" t="n">
        <v>48</v>
      </c>
      <c r="P8" s="12">
        <f>I8*K8</f>
        <v/>
      </c>
    </row>
    <row r="9">
      <c r="A9" t="inlineStr">
        <is>
          <t>RBK007</t>
        </is>
      </c>
      <c r="B9" t="inlineStr">
        <is>
          <t>KARE KASE BOMBE KAPAK LD.D11 PK/48AD KL/12PK</t>
        </is>
      </c>
      <c r="C9" s="7" t="n">
        <v>46210</v>
      </c>
      <c r="D9" t="inlineStr">
        <is>
          <t>A00000000255017</t>
        </is>
      </c>
      <c r="E9" s="8" t="n">
        <v>576</v>
      </c>
      <c r="F9" s="9" t="n">
        <v>4.324</v>
      </c>
      <c r="G9" s="7" t="n">
        <v>46218</v>
      </c>
      <c r="H9" t="inlineStr">
        <is>
          <t>A00000000255479</t>
        </is>
      </c>
      <c r="I9" s="8" t="n">
        <v>576</v>
      </c>
      <c r="J9" s="9" t="n">
        <v>4.416</v>
      </c>
      <c r="K9" s="9">
        <f>J9-F9</f>
        <v/>
      </c>
      <c r="L9" s="10">
        <f>K9/F9</f>
        <v/>
      </c>
      <c r="M9" s="11">
        <f>IF(K9&gt;0,"Artış","Düşüş")</f>
        <v/>
      </c>
      <c r="N9" t="inlineStr">
        <is>
          <t>Kur dönemi değişti (47→48)</t>
        </is>
      </c>
      <c r="O9" t="n">
        <v>48</v>
      </c>
      <c r="P9" s="12">
        <f>I9*K9</f>
        <v/>
      </c>
    </row>
    <row r="10">
      <c r="A10" t="inlineStr">
        <is>
          <t>MC02</t>
        </is>
      </c>
      <c r="B10" t="inlineStr">
        <is>
          <t>KAŞIK NİŞASTA BİO 168MM PK/100AD KL/12PK</t>
        </is>
      </c>
      <c r="C10" s="7" t="n">
        <v>46210</v>
      </c>
      <c r="D10" t="inlineStr">
        <is>
          <t>A00000000255017</t>
        </is>
      </c>
      <c r="E10" s="8" t="n">
        <v>24</v>
      </c>
      <c r="F10" s="9" t="n">
        <v>179.54</v>
      </c>
      <c r="G10" s="7" t="n">
        <v>46224</v>
      </c>
      <c r="H10" t="inlineStr">
        <is>
          <t>A00000000256028</t>
        </is>
      </c>
      <c r="I10" s="8" t="n">
        <v>12</v>
      </c>
      <c r="J10" s="9" t="n">
        <v>183.36</v>
      </c>
      <c r="K10" s="9">
        <f>J10-F10</f>
        <v/>
      </c>
      <c r="L10" s="10">
        <f>K10/F10</f>
        <v/>
      </c>
      <c r="M10" s="11">
        <f>IF(K10&gt;0,"Artış","Düşüş")</f>
        <v/>
      </c>
      <c r="N10" t="inlineStr">
        <is>
          <t>Kur dönemi değişti (47→48)</t>
        </is>
      </c>
      <c r="O10" t="n">
        <v>48</v>
      </c>
      <c r="P10" s="12">
        <f>I10*K10</f>
        <v/>
      </c>
    </row>
    <row r="11">
      <c r="A11" t="inlineStr">
        <is>
          <t>MRK002</t>
        </is>
      </c>
      <c r="B11" t="inlineStr">
        <is>
          <t>TAHTA ÇATAL 16CM (PK/100AD KL/50PK)</t>
        </is>
      </c>
      <c r="C11" s="7" t="n">
        <v>46210</v>
      </c>
      <c r="D11" t="inlineStr">
        <is>
          <t>A00000000255017</t>
        </is>
      </c>
      <c r="E11" s="8" t="n">
        <v>10</v>
      </c>
      <c r="F11" s="9" t="n">
        <v>94</v>
      </c>
      <c r="G11" s="7" t="n">
        <v>46224</v>
      </c>
      <c r="H11" t="inlineStr">
        <is>
          <t>A00000000256028</t>
        </is>
      </c>
      <c r="I11" s="8" t="n">
        <v>10</v>
      </c>
      <c r="J11" s="9" t="n">
        <v>96</v>
      </c>
      <c r="K11" s="9">
        <f>J11-F11</f>
        <v/>
      </c>
      <c r="L11" s="10">
        <f>K11/F11</f>
        <v/>
      </c>
      <c r="M11" s="11">
        <f>IF(K11&gt;0,"Artış","Düşüş")</f>
        <v/>
      </c>
      <c r="N11" t="inlineStr">
        <is>
          <t>Kur dönemi değişti (47→48)</t>
        </is>
      </c>
      <c r="O11" t="n">
        <v>48</v>
      </c>
      <c r="P11" s="12">
        <f>I11*K11</f>
        <v/>
      </c>
    </row>
    <row r="12">
      <c r="A12" t="inlineStr">
        <is>
          <t>PCK1113</t>
        </is>
      </c>
      <c r="B12" t="inlineStr">
        <is>
          <t>ÇİZGİLİ ŞAMUA 40 X 60</t>
        </is>
      </c>
      <c r="C12" s="7" t="n">
        <v>46210</v>
      </c>
      <c r="D12" t="inlineStr">
        <is>
          <t>A00000000255017</t>
        </is>
      </c>
      <c r="E12" s="8" t="n">
        <v>15</v>
      </c>
      <c r="F12" s="9" t="n">
        <v>225.3887</v>
      </c>
      <c r="G12" s="7" t="n">
        <v>46224</v>
      </c>
      <c r="H12" t="inlineStr">
        <is>
          <t>A00000000256028</t>
        </is>
      </c>
      <c r="I12" s="8" t="n">
        <v>15</v>
      </c>
      <c r="J12" s="9" t="n">
        <v>230.184</v>
      </c>
      <c r="K12" s="9">
        <f>J12-F12</f>
        <v/>
      </c>
      <c r="L12" s="10">
        <f>K12/F12</f>
        <v/>
      </c>
      <c r="M12" s="11">
        <f>IF(K12&gt;0,"Artış","Düşüş")</f>
        <v/>
      </c>
      <c r="N12" t="inlineStr">
        <is>
          <t>Kur dönemi değişti (47→48)</t>
        </is>
      </c>
      <c r="O12" t="n">
        <v>48</v>
      </c>
      <c r="P12" s="12">
        <f>I12*K12</f>
        <v/>
      </c>
    </row>
    <row r="13">
      <c r="A13" t="inlineStr">
        <is>
          <t>SLM014</t>
        </is>
      </c>
      <c r="B13" t="inlineStr">
        <is>
          <t>32 OZ  KRAFT 1000CC +KAPAK PK/50 KL/300</t>
        </is>
      </c>
      <c r="C13" s="7" t="n">
        <v>46210</v>
      </c>
      <c r="D13" t="inlineStr">
        <is>
          <t>A00000000255017</t>
        </is>
      </c>
      <c r="E13" s="8" t="n">
        <v>300</v>
      </c>
      <c r="F13" s="9" t="n">
        <v>9.164999999999999</v>
      </c>
      <c r="G13" s="7" t="n">
        <v>46224</v>
      </c>
      <c r="H13" t="inlineStr">
        <is>
          <t>A00000000256028</t>
        </is>
      </c>
      <c r="I13" s="8" t="n">
        <v>300</v>
      </c>
      <c r="J13" s="9" t="n">
        <v>9.359999999999999</v>
      </c>
      <c r="K13" s="9">
        <f>J13-F13</f>
        <v/>
      </c>
      <c r="L13" s="10">
        <f>K13/F13</f>
        <v/>
      </c>
      <c r="M13" s="11">
        <f>IF(K13&gt;0,"Artış","Düşüş")</f>
        <v/>
      </c>
      <c r="N13" t="inlineStr">
        <is>
          <t>Kur dönemi değişti (47→48)</t>
        </is>
      </c>
      <c r="O13" t="n">
        <v>48</v>
      </c>
      <c r="P13" s="12">
        <f>I13*K13</f>
        <v/>
      </c>
    </row>
    <row r="14">
      <c r="A14" t="inlineStr">
        <is>
          <t>SYM001</t>
        </is>
      </c>
      <c r="B14" t="inlineStr">
        <is>
          <t>PE ELDİVEN ŞEFFAF L PK/100 AD DR PACK KL/100 PKT</t>
        </is>
      </c>
      <c r="C14" s="7" t="n">
        <v>46204</v>
      </c>
      <c r="D14" t="inlineStr">
        <is>
          <t>A00000000254474</t>
        </is>
      </c>
      <c r="E14" s="8" t="n">
        <v>100</v>
      </c>
      <c r="F14" s="9" t="n">
        <v>36.5552</v>
      </c>
      <c r="G14" s="7" t="n">
        <v>46224</v>
      </c>
      <c r="H14" t="inlineStr">
        <is>
          <t>A00000000256028</t>
        </is>
      </c>
      <c r="I14" s="8" t="n">
        <v>100</v>
      </c>
      <c r="J14" s="9" t="n">
        <v>37.333</v>
      </c>
      <c r="K14" s="9">
        <f>J14-F14</f>
        <v/>
      </c>
      <c r="L14" s="10">
        <f>K14/F14</f>
        <v/>
      </c>
      <c r="M14" s="11">
        <f>IF(K14&gt;0,"Artış","Düşüş")</f>
        <v/>
      </c>
      <c r="N14" t="inlineStr">
        <is>
          <t>Kur dönemi değişti (47→48)</t>
        </is>
      </c>
      <c r="O14" t="n">
        <v>48</v>
      </c>
      <c r="P14" s="12">
        <f>I14*K14</f>
        <v/>
      </c>
    </row>
    <row r="15">
      <c r="A15" t="inlineStr">
        <is>
          <t>BRG010</t>
        </is>
      </c>
      <c r="B15" t="inlineStr">
        <is>
          <t>KC280 MODERNA PS KARE KAP +KAPAK KL/400</t>
        </is>
      </c>
      <c r="C15" s="7" t="n">
        <v>46204</v>
      </c>
      <c r="D15" t="inlineStr">
        <is>
          <t>A00000000254474</t>
        </is>
      </c>
      <c r="E15" s="8" t="n">
        <v>400</v>
      </c>
      <c r="F15" s="9" t="n">
        <v>16.7555</v>
      </c>
      <c r="G15" s="7" t="n">
        <v>46225</v>
      </c>
      <c r="H15" t="inlineStr">
        <is>
          <t>A00000000256217</t>
        </is>
      </c>
      <c r="I15" s="8" t="n">
        <v>400</v>
      </c>
      <c r="J15" s="9" t="n">
        <v>17.112</v>
      </c>
      <c r="K15" s="9">
        <f>J15-F15</f>
        <v/>
      </c>
      <c r="L15" s="10">
        <f>K15/F15</f>
        <v/>
      </c>
      <c r="M15" s="11">
        <f>IF(K15&gt;0,"Artış","Düşüş")</f>
        <v/>
      </c>
      <c r="N15" t="inlineStr">
        <is>
          <t>Kur dönemi değişti (47→48)</t>
        </is>
      </c>
      <c r="O15" t="n">
        <v>48</v>
      </c>
      <c r="P15" s="12">
        <f>I15*K15</f>
        <v/>
      </c>
    </row>
    <row r="16">
      <c r="A16" t="inlineStr">
        <is>
          <t>AMB018</t>
        </is>
      </c>
      <c r="B16" t="inlineStr">
        <is>
          <t>PİZZA KUTUSU KRAFT BASKISIZ 33 X 33 PK/100AD</t>
        </is>
      </c>
      <c r="C16" s="7" t="n">
        <v>46207</v>
      </c>
      <c r="D16" t="inlineStr">
        <is>
          <t>M00000000254629</t>
        </is>
      </c>
      <c r="E16" s="8" t="n">
        <v>1</v>
      </c>
      <c r="F16" s="9" t="n">
        <v>1238.0952</v>
      </c>
      <c r="G16" s="7" t="n">
        <v>46228</v>
      </c>
      <c r="H16" t="inlineStr">
        <is>
          <t>C00000000220907</t>
        </is>
      </c>
      <c r="I16" s="8" t="n">
        <v>2</v>
      </c>
      <c r="J16" s="9" t="n">
        <v>1285.7143</v>
      </c>
      <c r="K16" s="9">
        <f>J16-F16</f>
        <v/>
      </c>
      <c r="L16" s="10">
        <f>K16/F16</f>
        <v/>
      </c>
      <c r="M16" s="11">
        <f>IF(K16&gt;0,"Artış","Düşüş")</f>
        <v/>
      </c>
      <c r="N16" t="inlineStr">
        <is>
          <t>Kur 47→48 + döviz fiyatı değişti</t>
        </is>
      </c>
      <c r="O16" t="n">
        <v>48</v>
      </c>
      <c r="P16" s="12">
        <f>I16*K16</f>
        <v/>
      </c>
    </row>
    <row r="17">
      <c r="A17" t="inlineStr">
        <is>
          <t>AMB037</t>
        </is>
      </c>
      <c r="B17" t="inlineStr">
        <is>
          <t>PİZZA KUTUSU 30 X 30  PK/50 AD</t>
        </is>
      </c>
      <c r="C17" s="7" t="n">
        <v>46207</v>
      </c>
      <c r="D17" t="inlineStr">
        <is>
          <t>M00000000254629</t>
        </is>
      </c>
      <c r="E17" s="8" t="n">
        <v>1</v>
      </c>
      <c r="F17" s="9" t="n">
        <v>428.5714</v>
      </c>
      <c r="G17" s="7" t="n">
        <v>46231</v>
      </c>
      <c r="H17" t="inlineStr">
        <is>
          <t>A00000000256593</t>
        </is>
      </c>
      <c r="I17" s="8" t="n">
        <v>6</v>
      </c>
      <c r="J17" s="9" t="n">
        <v>417.3883</v>
      </c>
      <c r="K17" s="9">
        <f>J17-F17</f>
        <v/>
      </c>
      <c r="L17" s="10">
        <f>K17/F17</f>
        <v/>
      </c>
      <c r="M17" s="13">
        <f>IF(K17&gt;0,"Artış","Düşüş")</f>
        <v/>
      </c>
      <c r="N17" t="inlineStr">
        <is>
          <t>KDV dahil/hariç belge farkı - kontrol et</t>
        </is>
      </c>
      <c r="O17" t="n">
        <v>48</v>
      </c>
      <c r="P17" s="12">
        <f>I17*K17</f>
        <v/>
      </c>
    </row>
    <row r="18">
      <c r="A18" t="inlineStr">
        <is>
          <t>CAG018</t>
        </is>
      </c>
      <c r="B18" t="inlineStr">
        <is>
          <t>NARİN BAGET 12X42 BEYAZ YAĞLI</t>
        </is>
      </c>
      <c r="C18" s="7" t="n">
        <v>46224</v>
      </c>
      <c r="D18" t="inlineStr">
        <is>
          <t>A00000000256028</t>
        </is>
      </c>
      <c r="E18" s="8" t="n">
        <v>5</v>
      </c>
      <c r="F18" s="9" t="n">
        <v>364.32</v>
      </c>
      <c r="G18" s="7" t="n">
        <v>46231</v>
      </c>
      <c r="H18" t="inlineStr">
        <is>
          <t>A00000000256596</t>
        </is>
      </c>
      <c r="I18" s="8" t="n">
        <v>5</v>
      </c>
      <c r="J18" s="9" t="n">
        <v>320</v>
      </c>
      <c r="K18" s="9">
        <f>J18-F18</f>
        <v/>
      </c>
      <c r="L18" s="10">
        <f>K18/F18</f>
        <v/>
      </c>
      <c r="M18" s="13">
        <f>IF(K18&gt;0,"Artış","Düşüş")</f>
        <v/>
      </c>
      <c r="N18" t="inlineStr">
        <is>
          <t>Döviz (USD) liste fiyatı değişti</t>
        </is>
      </c>
      <c r="O18" t="n">
        <v>48</v>
      </c>
      <c r="P18" s="12">
        <f>I18*K18</f>
        <v/>
      </c>
    </row>
    <row r="19">
      <c r="A19" t="inlineStr">
        <is>
          <t>MRK004</t>
        </is>
      </c>
      <c r="B19" t="inlineStr">
        <is>
          <t>TAHTA DONDURMA KAŞIK 11CM (PK/100AD KL/100PK)</t>
        </is>
      </c>
      <c r="C19" s="7" t="n">
        <v>46207</v>
      </c>
      <c r="D19" t="inlineStr">
        <is>
          <t>M00000000254628</t>
        </is>
      </c>
      <c r="E19" s="8" t="n">
        <v>100</v>
      </c>
      <c r="F19" s="9" t="n">
        <v>86.2069</v>
      </c>
      <c r="G19" s="7" t="n">
        <v>46232</v>
      </c>
      <c r="H19" t="inlineStr">
        <is>
          <t>A00000000256678</t>
        </is>
      </c>
      <c r="I19" s="8" t="n">
        <v>100</v>
      </c>
      <c r="J19" s="9" t="n">
        <v>96</v>
      </c>
      <c r="K19" s="9">
        <f>J19-F19</f>
        <v/>
      </c>
      <c r="L19" s="10">
        <f>K19/F19</f>
        <v/>
      </c>
      <c r="M19" s="11">
        <f>IF(K19&gt;0,"Artış","Düşüş")</f>
        <v/>
      </c>
      <c r="N19" t="inlineStr">
        <is>
          <t>KDV dahil/hariç belge farkı - kontrol et</t>
        </is>
      </c>
      <c r="O19" t="n">
        <v>48</v>
      </c>
      <c r="P19" s="12">
        <f>I19*K19</f>
        <v/>
      </c>
    </row>
    <row r="20">
      <c r="A20" t="inlineStr">
        <is>
          <t>AMB037</t>
        </is>
      </c>
      <c r="B20" t="inlineStr">
        <is>
          <t>PİZZA KUTUSU 30 X 30  PK/50 AD</t>
        </is>
      </c>
      <c r="C20" s="7" t="n">
        <v>46231</v>
      </c>
      <c r="D20" t="inlineStr">
        <is>
          <t>A00000000256593</t>
        </is>
      </c>
      <c r="E20" s="8" t="n">
        <v>6</v>
      </c>
      <c r="F20" s="9" t="n">
        <v>417.3883</v>
      </c>
      <c r="G20" s="7" t="n">
        <v>46233</v>
      </c>
      <c r="H20" t="inlineStr">
        <is>
          <t>C00000000220913</t>
        </is>
      </c>
      <c r="I20" s="8" t="n">
        <v>4</v>
      </c>
      <c r="J20" s="9" t="n">
        <v>396.4264</v>
      </c>
      <c r="K20" s="9">
        <f>J20-F20</f>
        <v/>
      </c>
      <c r="L20" s="10">
        <f>K20/F20</f>
        <v/>
      </c>
      <c r="M20" s="13">
        <f>IF(K20&gt;0,"Artış","Düşüş")</f>
        <v/>
      </c>
      <c r="N20" t="inlineStr">
        <is>
          <t>KDV dahil/hariç belge farkı - kontrol et</t>
        </is>
      </c>
      <c r="O20" t="n">
        <v>48</v>
      </c>
      <c r="P20" s="12">
        <f>I20*K20</f>
        <v/>
      </c>
    </row>
    <row r="21">
      <c r="A21" t="inlineStr">
        <is>
          <t>GUS083</t>
        </is>
      </c>
      <c r="B21" t="inlineStr">
        <is>
          <t>GUSSE ŞURUP 0,70LT KARAMEL</t>
        </is>
      </c>
      <c r="C21" s="7" t="n">
        <v>46235</v>
      </c>
      <c r="D21" t="inlineStr">
        <is>
          <t>A00000000256933</t>
        </is>
      </c>
      <c r="E21" s="8" t="n">
        <v>12</v>
      </c>
      <c r="F21" s="9" t="n">
        <v>406</v>
      </c>
      <c r="G21" s="7" t="n">
        <v>46238</v>
      </c>
      <c r="H21" t="inlineStr">
        <is>
          <t>A00000000257111</t>
        </is>
      </c>
      <c r="I21" s="8" t="n">
        <v>12</v>
      </c>
      <c r="J21" s="9" t="n">
        <v>392.4</v>
      </c>
      <c r="K21" s="9">
        <f>J21-F21</f>
        <v/>
      </c>
      <c r="L21" s="10">
        <f>K21/F21</f>
        <v/>
      </c>
      <c r="M21" s="13">
        <f>IF(K21&gt;0,"Artış","Düşüş")</f>
        <v/>
      </c>
      <c r="N21" t="inlineStr">
        <is>
          <t>TL sabit fiyat değişti</t>
        </is>
      </c>
      <c r="O21" t="n">
        <v>48</v>
      </c>
      <c r="P21" s="12">
        <f>I21*K21</f>
        <v/>
      </c>
    </row>
    <row r="22">
      <c r="A22" t="inlineStr">
        <is>
          <t>GUS087</t>
        </is>
      </c>
      <c r="B22" t="inlineStr">
        <is>
          <t>GUSSE ŞURUP 0,70LT VANİLYA</t>
        </is>
      </c>
      <c r="C22" s="7" t="n">
        <v>46235</v>
      </c>
      <c r="D22" t="inlineStr">
        <is>
          <t>A00000000256933</t>
        </is>
      </c>
      <c r="E22" s="8" t="n">
        <v>12</v>
      </c>
      <c r="F22" s="9" t="n">
        <v>406</v>
      </c>
      <c r="G22" s="7" t="n">
        <v>46238</v>
      </c>
      <c r="H22" t="inlineStr">
        <is>
          <t>A00000000257111</t>
        </is>
      </c>
      <c r="I22" s="8" t="n">
        <v>6</v>
      </c>
      <c r="J22" s="9" t="n">
        <v>392.4</v>
      </c>
      <c r="K22" s="9">
        <f>J22-F22</f>
        <v/>
      </c>
      <c r="L22" s="10">
        <f>K22/F22</f>
        <v/>
      </c>
      <c r="M22" s="13">
        <f>IF(K22&gt;0,"Artış","Düşüş")</f>
        <v/>
      </c>
      <c r="N22" t="inlineStr">
        <is>
          <t>TL sabit fiyat değişti</t>
        </is>
      </c>
      <c r="O22" t="n">
        <v>48</v>
      </c>
      <c r="P22" s="12">
        <f>I22*K22</f>
        <v/>
      </c>
    </row>
    <row r="23">
      <c r="A23" t="inlineStr">
        <is>
          <t>MKR023</t>
        </is>
      </c>
      <c r="B23" t="inlineStr">
        <is>
          <t>PP SOS KABI KAPAKLI 4 OZ 120 ML PK/50AD KL/10PK</t>
        </is>
      </c>
      <c r="C23" s="7" t="n">
        <v>46218</v>
      </c>
      <c r="D23" t="inlineStr">
        <is>
          <t>A00000000255479</t>
        </is>
      </c>
      <c r="E23" s="8" t="n">
        <v>20</v>
      </c>
      <c r="F23" s="9" t="n">
        <v>100.8</v>
      </c>
      <c r="G23" s="7" t="n">
        <v>46239</v>
      </c>
      <c r="H23" t="inlineStr">
        <is>
          <t>A00000000257188</t>
        </is>
      </c>
      <c r="I23" s="8" t="n">
        <v>20</v>
      </c>
      <c r="J23" s="9" t="n">
        <v>108</v>
      </c>
      <c r="K23" s="9">
        <f>J23-F23</f>
        <v/>
      </c>
      <c r="L23" s="10">
        <f>K23/F23</f>
        <v/>
      </c>
      <c r="M23" s="11">
        <f>IF(K23&gt;0,"Artış","Düşüş")</f>
        <v/>
      </c>
      <c r="N23" t="inlineStr">
        <is>
          <t>Döviz (USD) liste fiyatı değişti</t>
        </is>
      </c>
      <c r="O23" t="n">
        <v>48</v>
      </c>
      <c r="P23" s="12">
        <f>I23*K23</f>
        <v/>
      </c>
    </row>
    <row r="24">
      <c r="A24" t="inlineStr">
        <is>
          <t>GUS083</t>
        </is>
      </c>
      <c r="B24" t="inlineStr">
        <is>
          <t>GUSSE ŞURUP 0,70LT KARAMEL</t>
        </is>
      </c>
      <c r="C24" s="7" t="n">
        <v>46238</v>
      </c>
      <c r="D24" t="inlineStr">
        <is>
          <t>A00000000257111</t>
        </is>
      </c>
      <c r="E24" s="8" t="n">
        <v>12</v>
      </c>
      <c r="F24" s="9" t="n">
        <v>392.4</v>
      </c>
      <c r="G24" s="7" t="n">
        <v>46244</v>
      </c>
      <c r="H24" t="inlineStr">
        <is>
          <t>A00000000257609</t>
        </is>
      </c>
      <c r="I24" s="8" t="n">
        <v>12</v>
      </c>
      <c r="J24" s="9" t="n">
        <v>365.4</v>
      </c>
      <c r="K24" s="9">
        <f>J24-F24</f>
        <v/>
      </c>
      <c r="L24" s="10">
        <f>K24/F24</f>
        <v/>
      </c>
      <c r="M24" s="13">
        <f>IF(K24&gt;0,"Artış","Düşüş")</f>
        <v/>
      </c>
      <c r="N24" t="inlineStr">
        <is>
          <t>TL sabit fiyat değişti</t>
        </is>
      </c>
      <c r="O24" t="n">
        <v>48</v>
      </c>
      <c r="P24" s="12">
        <f>I24*K24</f>
        <v/>
      </c>
    </row>
    <row r="25">
      <c r="A25" t="inlineStr">
        <is>
          <t>GUS083</t>
        </is>
      </c>
      <c r="B25" t="inlineStr">
        <is>
          <t>GUSSE ŞURUP 0,70LT KARAMEL</t>
        </is>
      </c>
      <c r="C25" s="7" t="n">
        <v>46244</v>
      </c>
      <c r="D25" t="inlineStr">
        <is>
          <t>A00000000257609</t>
        </is>
      </c>
      <c r="E25" s="8" t="n">
        <v>12</v>
      </c>
      <c r="F25" s="9" t="n">
        <v>365.4</v>
      </c>
      <c r="G25" s="7" t="n">
        <v>46245</v>
      </c>
      <c r="H25" t="inlineStr">
        <is>
          <t>A00000000257665</t>
        </is>
      </c>
      <c r="I25" s="8" t="n">
        <v>6</v>
      </c>
      <c r="J25" s="9" t="n">
        <v>406</v>
      </c>
      <c r="K25" s="9">
        <f>J25-F25</f>
        <v/>
      </c>
      <c r="L25" s="10">
        <f>K25/F25</f>
        <v/>
      </c>
      <c r="M25" s="11">
        <f>IF(K25&gt;0,"Artış","Düşüş")</f>
        <v/>
      </c>
      <c r="N25" t="inlineStr">
        <is>
          <t>TL sabit fiyat değişti</t>
        </is>
      </c>
      <c r="O25" t="n">
        <v>48</v>
      </c>
      <c r="P25" s="12">
        <f>I25*K25</f>
        <v/>
      </c>
    </row>
    <row r="26">
      <c r="A26" t="inlineStr">
        <is>
          <t>PL001</t>
        </is>
      </c>
      <c r="B26" t="inlineStr">
        <is>
          <t>300 ML ŞEFFAF KARE PET ŞİŞE 19,5GR+KAPAK PK/50AD</t>
        </is>
      </c>
      <c r="C26" s="7" t="n">
        <v>46238</v>
      </c>
      <c r="D26" t="inlineStr">
        <is>
          <t>A00000000257116</t>
        </is>
      </c>
      <c r="E26" s="8" t="n">
        <v>500</v>
      </c>
      <c r="F26" s="9" t="n">
        <v>14.88</v>
      </c>
      <c r="G26" s="7" t="n">
        <v>46245</v>
      </c>
      <c r="H26" t="inlineStr">
        <is>
          <t>A00000000257722</t>
        </is>
      </c>
      <c r="I26" s="8" t="n">
        <v>500</v>
      </c>
      <c r="J26" s="9" t="n">
        <v>14</v>
      </c>
      <c r="K26" s="9">
        <f>J26-F26</f>
        <v/>
      </c>
      <c r="L26" s="10">
        <f>K26/F26</f>
        <v/>
      </c>
      <c r="M26" s="13">
        <f>IF(K26&gt;0,"Artış","Düşüş")</f>
        <v/>
      </c>
      <c r="N26" t="inlineStr">
        <is>
          <t>Döviz (USD) liste fiyatı değişti</t>
        </is>
      </c>
      <c r="O26" t="n">
        <v>48</v>
      </c>
      <c r="P26" s="12">
        <f>I26*K26</f>
        <v/>
      </c>
    </row>
    <row r="27">
      <c r="A27" t="inlineStr">
        <is>
          <t>GUS083</t>
        </is>
      </c>
      <c r="B27" t="inlineStr">
        <is>
          <t>GUSSE ŞURUP 0,70LT KARAMEL</t>
        </is>
      </c>
      <c r="C27" s="7" t="n">
        <v>46245</v>
      </c>
      <c r="D27" t="inlineStr">
        <is>
          <t>A00000000257665</t>
        </is>
      </c>
      <c r="E27" s="8" t="n">
        <v>6</v>
      </c>
      <c r="F27" s="9" t="n">
        <v>406</v>
      </c>
      <c r="G27" s="7" t="n">
        <v>46252</v>
      </c>
      <c r="H27" t="inlineStr">
        <is>
          <t>A00000000258131</t>
        </is>
      </c>
      <c r="I27" s="8" t="n">
        <v>12</v>
      </c>
      <c r="J27" s="9" t="n">
        <v>392.4</v>
      </c>
      <c r="K27" s="9">
        <f>J27-F27</f>
        <v/>
      </c>
      <c r="L27" s="10">
        <f>K27/F27</f>
        <v/>
      </c>
      <c r="M27" s="13">
        <f>IF(K27&gt;0,"Artış","Düşüş")</f>
        <v/>
      </c>
      <c r="N27" t="inlineStr">
        <is>
          <t>TL sabit fiyat değişti</t>
        </is>
      </c>
      <c r="O27" t="n">
        <v>48</v>
      </c>
      <c r="P27" s="12">
        <f>I27*K27</f>
        <v/>
      </c>
    </row>
    <row r="28">
      <c r="A28" t="inlineStr">
        <is>
          <t>MRK002</t>
        </is>
      </c>
      <c r="B28" t="inlineStr">
        <is>
          <t>TAHTA ÇATAL 16CM (PK/100AD KL/50PK)</t>
        </is>
      </c>
      <c r="C28" s="7" t="n">
        <v>46224</v>
      </c>
      <c r="D28" t="inlineStr">
        <is>
          <t>A00000000256028</t>
        </is>
      </c>
      <c r="E28" s="8" t="n">
        <v>10</v>
      </c>
      <c r="F28" s="9" t="n">
        <v>96</v>
      </c>
      <c r="G28" s="7" t="n">
        <v>46252</v>
      </c>
      <c r="H28" t="inlineStr">
        <is>
          <t>A00000000258193</t>
        </is>
      </c>
      <c r="I28" s="8" t="n">
        <v>20</v>
      </c>
      <c r="J28" s="9" t="n">
        <v>129.6</v>
      </c>
      <c r="K28" s="9">
        <f>J28-F28</f>
        <v/>
      </c>
      <c r="L28" s="10">
        <f>K28/F28</f>
        <v/>
      </c>
      <c r="M28" s="11">
        <f>IF(K28&gt;0,"Artış","Düşüş")</f>
        <v/>
      </c>
      <c r="N28" t="inlineStr">
        <is>
          <t>Döviz (USD) liste fiyatı değişti</t>
        </is>
      </c>
      <c r="O28" t="n">
        <v>48</v>
      </c>
      <c r="P28" s="12">
        <f>I28*K28</f>
        <v/>
      </c>
    </row>
    <row r="29">
      <c r="A29" t="inlineStr">
        <is>
          <t>PL001</t>
        </is>
      </c>
      <c r="B29" t="inlineStr">
        <is>
          <t>300 ML ŞEFFAF KARE PET ŞİŞE 19,5GR+KAPAK PK/50AD</t>
        </is>
      </c>
      <c r="C29" s="7" t="n">
        <v>46245</v>
      </c>
      <c r="D29" t="inlineStr">
        <is>
          <t>A00000000257722</t>
        </is>
      </c>
      <c r="E29" s="8" t="n">
        <v>500</v>
      </c>
      <c r="F29" s="9" t="n">
        <v>14</v>
      </c>
      <c r="G29" s="7" t="n">
        <v>46252</v>
      </c>
      <c r="H29" t="inlineStr">
        <is>
          <t>A00000000258193</t>
        </is>
      </c>
      <c r="I29" s="8" t="n">
        <v>100</v>
      </c>
      <c r="J29" s="9" t="n">
        <v>14.88</v>
      </c>
      <c r="K29" s="9">
        <f>J29-F29</f>
        <v/>
      </c>
      <c r="L29" s="10">
        <f>K29/F29</f>
        <v/>
      </c>
      <c r="M29" s="11">
        <f>IF(K29&gt;0,"Artış","Düşüş")</f>
        <v/>
      </c>
      <c r="N29" t="inlineStr">
        <is>
          <t>Döviz (USD) liste fiyatı değişti</t>
        </is>
      </c>
      <c r="O29" t="n">
        <v>48</v>
      </c>
      <c r="P29" s="12">
        <f>I29*K29</f>
        <v/>
      </c>
    </row>
    <row r="30">
      <c r="A30" t="inlineStr">
        <is>
          <t>RBK006</t>
        </is>
      </c>
      <c r="B30" t="inlineStr">
        <is>
          <t>KRİSTAL KARE KASE 300ML SB.D11 PK/12 KL/288 AD</t>
        </is>
      </c>
      <c r="C30" s="7" t="n">
        <v>46238</v>
      </c>
      <c r="D30" t="inlineStr">
        <is>
          <t>A00000000257116</t>
        </is>
      </c>
      <c r="E30" s="8" t="n">
        <v>576</v>
      </c>
      <c r="F30" s="9" t="n">
        <v>11.04</v>
      </c>
      <c r="G30" s="7" t="n">
        <v>46252</v>
      </c>
      <c r="H30" t="inlineStr">
        <is>
          <t>A00000000258193</t>
        </is>
      </c>
      <c r="I30" s="8" t="n">
        <v>576</v>
      </c>
      <c r="J30" s="9" t="n">
        <v>10.56</v>
      </c>
      <c r="K30" s="9">
        <f>J30-F30</f>
        <v/>
      </c>
      <c r="L30" s="10">
        <f>K30/F30</f>
        <v/>
      </c>
      <c r="M30" s="13">
        <f>IF(K30&gt;0,"Artış","Düşüş")</f>
        <v/>
      </c>
      <c r="N30" t="inlineStr">
        <is>
          <t>Döviz (USD) liste fiyatı değişti</t>
        </is>
      </c>
      <c r="O30" t="n">
        <v>48</v>
      </c>
      <c r="P30" s="12">
        <f>I30*K30</f>
        <v/>
      </c>
    </row>
    <row r="31">
      <c r="A31" t="inlineStr">
        <is>
          <t>RBK007</t>
        </is>
      </c>
      <c r="B31" t="inlineStr">
        <is>
          <t>KARE KASE BOMBE KAPAK LD.D11 PK/48AD KL/12PK</t>
        </is>
      </c>
      <c r="C31" s="7" t="n">
        <v>46238</v>
      </c>
      <c r="D31" t="inlineStr">
        <is>
          <t>A00000000257116</t>
        </is>
      </c>
      <c r="E31" s="8" t="n">
        <v>576</v>
      </c>
      <c r="F31" s="9" t="n">
        <v>4.416</v>
      </c>
      <c r="G31" s="7" t="n">
        <v>46252</v>
      </c>
      <c r="H31" t="inlineStr">
        <is>
          <t>A00000000258193</t>
        </is>
      </c>
      <c r="I31" s="8" t="n">
        <v>576</v>
      </c>
      <c r="J31" s="9" t="n">
        <v>4.32</v>
      </c>
      <c r="K31" s="9">
        <f>J31-F31</f>
        <v/>
      </c>
      <c r="L31" s="10">
        <f>K31/F31</f>
        <v/>
      </c>
      <c r="M31" s="13">
        <f>IF(K31&gt;0,"Artış","Düşüş")</f>
        <v/>
      </c>
      <c r="N31" t="inlineStr">
        <is>
          <t>Döviz (USD) liste fiyatı değişti</t>
        </is>
      </c>
      <c r="O31" t="n">
        <v>48</v>
      </c>
      <c r="P31" s="12">
        <f>I31*K31</f>
        <v/>
      </c>
    </row>
    <row r="32">
      <c r="A32" t="inlineStr">
        <is>
          <t>GUS195</t>
        </is>
      </c>
      <c r="B32" t="inlineStr">
        <is>
          <t>GUSSTEA   YEŞİL ÇAY 250G</t>
        </is>
      </c>
      <c r="C32" s="7" t="n">
        <v>46204</v>
      </c>
      <c r="D32" t="inlineStr">
        <is>
          <t>A00000000254474</t>
        </is>
      </c>
      <c r="E32" s="8" t="n">
        <v>1</v>
      </c>
      <c r="F32" s="9" t="n">
        <v>462.88</v>
      </c>
      <c r="G32" s="7" t="n">
        <v>46256</v>
      </c>
      <c r="H32" t="inlineStr">
        <is>
          <t>A00000000258550</t>
        </is>
      </c>
      <c r="I32" s="8" t="n">
        <v>1</v>
      </c>
      <c r="J32" s="9" t="n">
        <v>458.2417</v>
      </c>
      <c r="K32" s="9">
        <f>J32-F32</f>
        <v/>
      </c>
      <c r="L32" s="10">
        <f>K32/F32</f>
        <v/>
      </c>
      <c r="M32" s="13">
        <f>IF(K32&gt;0,"Artış","Düşüş")</f>
        <v/>
      </c>
      <c r="N32" t="inlineStr">
        <is>
          <t>TL sabit fiyat değişti</t>
        </is>
      </c>
      <c r="O32" t="n">
        <v>48</v>
      </c>
      <c r="P32" s="12">
        <f>I32*K32</f>
        <v/>
      </c>
    </row>
    <row r="33">
      <c r="A33" t="inlineStr">
        <is>
          <t>ALT001</t>
        </is>
      </c>
      <c r="B33" t="inlineStr">
        <is>
          <t>KRAFT PENC.ÜÇGEN SANDVİÇ  55MM PK/100 KL/5PK</t>
        </is>
      </c>
      <c r="C33" s="7" t="n">
        <v>46210</v>
      </c>
      <c r="D33" t="inlineStr">
        <is>
          <t>A00000000255017</t>
        </is>
      </c>
      <c r="E33" s="8" t="n">
        <v>500</v>
      </c>
      <c r="F33" s="9" t="n">
        <v>7.99</v>
      </c>
      <c r="G33" s="7" t="n">
        <v>46258</v>
      </c>
      <c r="H33" t="inlineStr">
        <is>
          <t>A00000000258719</t>
        </is>
      </c>
      <c r="I33" s="8" t="n">
        <v>500</v>
      </c>
      <c r="J33" s="9" t="n">
        <v>8.16</v>
      </c>
      <c r="K33" s="9">
        <f>J33-F33</f>
        <v/>
      </c>
      <c r="L33" s="10">
        <f>K33/F33</f>
        <v/>
      </c>
      <c r="M33" s="11">
        <f>IF(K33&gt;0,"Artış","Düşüş")</f>
        <v/>
      </c>
      <c r="N33" t="inlineStr">
        <is>
          <t>Kur dönemi değişti (47→48)</t>
        </is>
      </c>
      <c r="O33" t="n">
        <v>48</v>
      </c>
      <c r="P33" s="12">
        <f>I33*K33</f>
        <v/>
      </c>
    </row>
    <row r="34">
      <c r="A34" t="inlineStr">
        <is>
          <t>ALT001</t>
        </is>
      </c>
      <c r="B34" t="inlineStr">
        <is>
          <t>KRAFT PENC.ÜÇGEN SANDVİÇ  55MM PK/100 KL/5PK</t>
        </is>
      </c>
      <c r="C34" s="7" t="n">
        <v>46258</v>
      </c>
      <c r="D34" t="inlineStr">
        <is>
          <t>C00000000220947</t>
        </is>
      </c>
      <c r="E34" s="8" t="n">
        <v>100</v>
      </c>
      <c r="F34" s="9" t="n">
        <v>8.1524</v>
      </c>
      <c r="G34" s="7" t="n">
        <v>46267</v>
      </c>
      <c r="H34" t="inlineStr">
        <is>
          <t>A00000000259302</t>
        </is>
      </c>
      <c r="I34" s="8" t="n">
        <v>500</v>
      </c>
      <c r="J34" s="9" t="n">
        <v>8.33</v>
      </c>
      <c r="K34" s="9">
        <f>J34-F34</f>
        <v/>
      </c>
      <c r="L34" s="10">
        <f>K34/F34</f>
        <v/>
      </c>
      <c r="M34" s="11">
        <f>IF(K34&gt;0,"Artış","Düşüş")</f>
        <v/>
      </c>
      <c r="N34" t="inlineStr">
        <is>
          <t>KDV dahil/hariç belge farkı - kontrol et</t>
        </is>
      </c>
      <c r="O34" t="n">
        <v>49</v>
      </c>
      <c r="P34" s="12">
        <f>I34*K34</f>
        <v/>
      </c>
    </row>
    <row r="35">
      <c r="A35" t="inlineStr">
        <is>
          <t>AMB004</t>
        </is>
      </c>
      <c r="B35" t="inlineStr">
        <is>
          <t>PİZZA KUTUSU 33 X 33  PK/90 AD</t>
        </is>
      </c>
      <c r="C35" s="7" t="n">
        <v>46258</v>
      </c>
      <c r="D35" t="inlineStr">
        <is>
          <t>A00000000258719</t>
        </is>
      </c>
      <c r="E35" s="8" t="n">
        <v>4</v>
      </c>
      <c r="F35" s="9" t="n">
        <v>1021.44</v>
      </c>
      <c r="G35" s="7" t="n">
        <v>46267</v>
      </c>
      <c r="H35" t="inlineStr">
        <is>
          <t>A00000000259302</t>
        </is>
      </c>
      <c r="I35" s="8" t="n">
        <v>4</v>
      </c>
      <c r="J35" s="9" t="n">
        <v>1042.72</v>
      </c>
      <c r="K35" s="9">
        <f>J35-F35</f>
        <v/>
      </c>
      <c r="L35" s="10">
        <f>K35/F35</f>
        <v/>
      </c>
      <c r="M35" s="11">
        <f>IF(K35&gt;0,"Artış","Düşüş")</f>
        <v/>
      </c>
      <c r="N35" t="inlineStr">
        <is>
          <t>Kur dönemi değişti (48→49)</t>
        </is>
      </c>
      <c r="O35" t="n">
        <v>49</v>
      </c>
      <c r="P35" s="12">
        <f>I35*K35</f>
        <v/>
      </c>
    </row>
    <row r="36">
      <c r="A36" t="inlineStr">
        <is>
          <t>MC02</t>
        </is>
      </c>
      <c r="B36" t="inlineStr">
        <is>
          <t>KAŞIK NİŞASTA BİO 168MM PK/100AD KL/12PK</t>
        </is>
      </c>
      <c r="C36" s="7" t="n">
        <v>46252</v>
      </c>
      <c r="D36" t="inlineStr">
        <is>
          <t>A00000000258193</t>
        </is>
      </c>
      <c r="E36" s="8" t="n">
        <v>24</v>
      </c>
      <c r="F36" s="9" t="n">
        <v>183.36</v>
      </c>
      <c r="G36" s="7" t="n">
        <v>46267</v>
      </c>
      <c r="H36" t="inlineStr">
        <is>
          <t>A00000000259302</t>
        </is>
      </c>
      <c r="I36" s="8" t="n">
        <v>48</v>
      </c>
      <c r="J36" s="9" t="n">
        <v>187.18</v>
      </c>
      <c r="K36" s="9">
        <f>J36-F36</f>
        <v/>
      </c>
      <c r="L36" s="10">
        <f>K36/F36</f>
        <v/>
      </c>
      <c r="M36" s="11">
        <f>IF(K36&gt;0,"Artış","Düşüş")</f>
        <v/>
      </c>
      <c r="N36" t="inlineStr">
        <is>
          <t>Kur dönemi değişti (48→49)</t>
        </is>
      </c>
      <c r="O36" t="n">
        <v>49</v>
      </c>
      <c r="P36" s="12">
        <f>I36*K36</f>
        <v/>
      </c>
    </row>
    <row r="37">
      <c r="A37" t="inlineStr">
        <is>
          <t>MC03</t>
        </is>
      </c>
      <c r="B37" t="inlineStr">
        <is>
          <t>BIÇAK NİŞASTA BİO 161MM PK/100AD KL/16PK</t>
        </is>
      </c>
      <c r="C37" s="7" t="n">
        <v>46252</v>
      </c>
      <c r="D37" t="inlineStr">
        <is>
          <t>A00000000258193</t>
        </is>
      </c>
      <c r="E37" s="8" t="n">
        <v>16</v>
      </c>
      <c r="F37" s="9" t="n">
        <v>132.48</v>
      </c>
      <c r="G37" s="7" t="n">
        <v>46267</v>
      </c>
      <c r="H37" t="inlineStr">
        <is>
          <t>A00000000259302</t>
        </is>
      </c>
      <c r="I37" s="8" t="n">
        <v>16</v>
      </c>
      <c r="J37" s="9" t="n">
        <v>135.24</v>
      </c>
      <c r="K37" s="9">
        <f>J37-F37</f>
        <v/>
      </c>
      <c r="L37" s="10">
        <f>K37/F37</f>
        <v/>
      </c>
      <c r="M37" s="11">
        <f>IF(K37&gt;0,"Artış","Düşüş")</f>
        <v/>
      </c>
      <c r="N37" t="inlineStr">
        <is>
          <t>Kur dönemi değişti (48→49)</t>
        </is>
      </c>
      <c r="O37" t="n">
        <v>49</v>
      </c>
      <c r="P37" s="12">
        <f>I37*K37</f>
        <v/>
      </c>
    </row>
    <row r="38">
      <c r="A38" t="inlineStr">
        <is>
          <t>MRK002</t>
        </is>
      </c>
      <c r="B38" t="inlineStr">
        <is>
          <t>TAHTA ÇATAL 16CM (PK/100AD KL/50PK)</t>
        </is>
      </c>
      <c r="C38" s="7" t="n">
        <v>46260</v>
      </c>
      <c r="D38" t="inlineStr">
        <is>
          <t>A00000000258910</t>
        </is>
      </c>
      <c r="E38" s="8" t="n">
        <v>5</v>
      </c>
      <c r="F38" s="9" t="n">
        <v>129.6</v>
      </c>
      <c r="G38" s="7" t="n">
        <v>46267</v>
      </c>
      <c r="H38" t="inlineStr">
        <is>
          <t>A00000000259302</t>
        </is>
      </c>
      <c r="I38" s="8" t="n">
        <v>50</v>
      </c>
      <c r="J38" s="9" t="n">
        <v>132.3</v>
      </c>
      <c r="K38" s="9">
        <f>J38-F38</f>
        <v/>
      </c>
      <c r="L38" s="10">
        <f>K38/F38</f>
        <v/>
      </c>
      <c r="M38" s="11">
        <f>IF(K38&gt;0,"Artış","Düşüş")</f>
        <v/>
      </c>
      <c r="N38" t="inlineStr">
        <is>
          <t>Kur dönemi değişti (48→49)</t>
        </is>
      </c>
      <c r="O38" t="n">
        <v>49</v>
      </c>
      <c r="P38" s="12">
        <f>I38*K38</f>
        <v/>
      </c>
    </row>
    <row r="39">
      <c r="A39" t="inlineStr">
        <is>
          <t>MTP055</t>
        </is>
      </c>
      <c r="B39" t="inlineStr">
        <is>
          <t>LD 06 BOMBE KAPAK PK/60AD KL/10PK</t>
        </is>
      </c>
      <c r="C39" s="7" t="n">
        <v>46258</v>
      </c>
      <c r="D39" t="inlineStr">
        <is>
          <t>A00000000258719</t>
        </is>
      </c>
      <c r="E39" s="8" t="n">
        <v>1200</v>
      </c>
      <c r="F39" s="9" t="n">
        <v>1.8216</v>
      </c>
      <c r="G39" s="7" t="n">
        <v>46267</v>
      </c>
      <c r="H39" t="inlineStr">
        <is>
          <t>A00000000259302</t>
        </is>
      </c>
      <c r="I39" s="8" t="n">
        <v>2400</v>
      </c>
      <c r="J39" s="9" t="n">
        <v>1.8595</v>
      </c>
      <c r="K39" s="9">
        <f>J39-F39</f>
        <v/>
      </c>
      <c r="L39" s="10">
        <f>K39/F39</f>
        <v/>
      </c>
      <c r="M39" s="11">
        <f>IF(K39&gt;0,"Artış","Düşüş")</f>
        <v/>
      </c>
      <c r="N39" t="inlineStr">
        <is>
          <t>Kur dönemi değişti (48→49)</t>
        </is>
      </c>
      <c r="O39" t="n">
        <v>49</v>
      </c>
      <c r="P39" s="12">
        <f>I39*K39</f>
        <v/>
      </c>
    </row>
    <row r="40">
      <c r="A40" t="inlineStr">
        <is>
          <t>MTP089</t>
        </is>
      </c>
      <c r="B40" t="inlineStr">
        <is>
          <t>PP SOS KABI KAPAKLI 1 0Z 30 ML PK/50AD KL/20PK</t>
        </is>
      </c>
      <c r="C40" s="7" t="n">
        <v>46228</v>
      </c>
      <c r="D40" t="inlineStr">
        <is>
          <t>C00000000220907</t>
        </is>
      </c>
      <c r="E40" s="8" t="n">
        <v>2</v>
      </c>
      <c r="F40" s="9" t="n">
        <v>42.8571</v>
      </c>
      <c r="G40" s="7" t="n">
        <v>46267</v>
      </c>
      <c r="H40" t="inlineStr">
        <is>
          <t>A00000000259302</t>
        </is>
      </c>
      <c r="I40" s="8" t="n">
        <v>20</v>
      </c>
      <c r="J40" s="9" t="n">
        <v>43.12</v>
      </c>
      <c r="K40" s="9">
        <f>J40-F40</f>
        <v/>
      </c>
      <c r="L40" s="10">
        <f>K40/F40</f>
        <v/>
      </c>
      <c r="M40" s="11">
        <f>IF(K40&gt;0,"Artış","Düşüş")</f>
        <v/>
      </c>
      <c r="N40" t="inlineStr">
        <is>
          <t>KDV dahil/hariç belge farkı - kontrol et</t>
        </is>
      </c>
      <c r="O40" t="n">
        <v>49</v>
      </c>
      <c r="P40" s="12">
        <f>I40*K40</f>
        <v/>
      </c>
    </row>
    <row r="41">
      <c r="A41" t="inlineStr">
        <is>
          <t>MTP090</t>
        </is>
      </c>
      <c r="B41" t="inlineStr">
        <is>
          <t>PP SOS KABI KAPAKLI 2 OZ 60 ML PK/50AD KL/20PK</t>
        </is>
      </c>
      <c r="C41" s="7" t="n">
        <v>46206</v>
      </c>
      <c r="D41" t="inlineStr">
        <is>
          <t>A00000000254579</t>
        </is>
      </c>
      <c r="E41" s="8" t="n">
        <v>20</v>
      </c>
      <c r="F41" s="9" t="n">
        <v>52</v>
      </c>
      <c r="G41" s="7" t="n">
        <v>46267</v>
      </c>
      <c r="H41" t="inlineStr">
        <is>
          <t>A00000000259302</t>
        </is>
      </c>
      <c r="I41" s="8" t="n">
        <v>20</v>
      </c>
      <c r="J41" s="9" t="n">
        <v>57.33</v>
      </c>
      <c r="K41" s="9">
        <f>J41-F41</f>
        <v/>
      </c>
      <c r="L41" s="10">
        <f>K41/F41</f>
        <v/>
      </c>
      <c r="M41" s="11">
        <f>IF(K41&gt;0,"Artış","Düşüş")</f>
        <v/>
      </c>
      <c r="N41" t="inlineStr">
        <is>
          <t>Kur 47→49 + döviz fiyatı değişti</t>
        </is>
      </c>
      <c r="O41" t="n">
        <v>49</v>
      </c>
      <c r="P41" s="12">
        <f>I41*K41</f>
        <v/>
      </c>
    </row>
    <row r="42">
      <c r="A42" t="inlineStr">
        <is>
          <t>MTP163</t>
        </is>
      </c>
      <c r="B42" t="inlineStr">
        <is>
          <t>DC 03 AYAKLI KASE 200 ML PK/30AD KL/20PK</t>
        </is>
      </c>
      <c r="C42" s="7" t="n">
        <v>46258</v>
      </c>
      <c r="D42" t="inlineStr">
        <is>
          <t>A00000000258719</t>
        </is>
      </c>
      <c r="E42" s="8" t="n">
        <v>1200</v>
      </c>
      <c r="F42" s="9" t="n">
        <v>6.24</v>
      </c>
      <c r="G42" s="7" t="n">
        <v>46267</v>
      </c>
      <c r="H42" t="inlineStr">
        <is>
          <t>A00000000259302</t>
        </is>
      </c>
      <c r="I42" s="8" t="n">
        <v>2400</v>
      </c>
      <c r="J42" s="9" t="n">
        <v>6.37</v>
      </c>
      <c r="K42" s="9">
        <f>J42-F42</f>
        <v/>
      </c>
      <c r="L42" s="10">
        <f>K42/F42</f>
        <v/>
      </c>
      <c r="M42" s="11">
        <f>IF(K42&gt;0,"Artış","Düşüş")</f>
        <v/>
      </c>
      <c r="N42" t="inlineStr">
        <is>
          <t>Kur dönemi değişti (48→49)</t>
        </is>
      </c>
      <c r="O42" t="n">
        <v>49</v>
      </c>
      <c r="P42" s="12">
        <f>I42*K42</f>
        <v/>
      </c>
    </row>
    <row r="43">
      <c r="A43" t="inlineStr">
        <is>
          <t>PCK00203</t>
        </is>
      </c>
      <c r="B43" t="inlineStr">
        <is>
          <t>PİŞİRME 40X60 TABAKA 500 ADETLİ DR PACK 5,24KG/PK</t>
        </is>
      </c>
      <c r="C43" s="7" t="n">
        <v>46245</v>
      </c>
      <c r="D43" t="inlineStr">
        <is>
          <t>A00000000257722</t>
        </is>
      </c>
      <c r="E43" s="8" t="n">
        <v>20</v>
      </c>
      <c r="F43" s="9" t="n">
        <v>1690.08</v>
      </c>
      <c r="G43" s="7" t="n">
        <v>46267</v>
      </c>
      <c r="H43" t="inlineStr">
        <is>
          <t>A00000000259302</t>
        </is>
      </c>
      <c r="I43" s="8" t="n">
        <v>10</v>
      </c>
      <c r="J43" s="9" t="n">
        <v>1725.427</v>
      </c>
      <c r="K43" s="9">
        <f>J43-F43</f>
        <v/>
      </c>
      <c r="L43" s="10">
        <f>K43/F43</f>
        <v/>
      </c>
      <c r="M43" s="11">
        <f>IF(K43&gt;0,"Artış","Düşüş")</f>
        <v/>
      </c>
      <c r="N43" t="inlineStr">
        <is>
          <t>Kur dönemi değişti (48→49)</t>
        </is>
      </c>
      <c r="O43" t="n">
        <v>49</v>
      </c>
      <c r="P43" s="12">
        <f>I43*K43</f>
        <v/>
      </c>
    </row>
    <row r="44">
      <c r="A44" t="inlineStr">
        <is>
          <t>PL001</t>
        </is>
      </c>
      <c r="B44" t="inlineStr">
        <is>
          <t>300 ML ŞEFFAF KARE PET ŞİŞE 19,5GR+KAPAK PK/50AD</t>
        </is>
      </c>
      <c r="C44" s="7" t="n">
        <v>46252</v>
      </c>
      <c r="D44" t="inlineStr">
        <is>
          <t>A00000000258193</t>
        </is>
      </c>
      <c r="E44" s="8" t="n">
        <v>100</v>
      </c>
      <c r="F44" s="9" t="n">
        <v>14.88</v>
      </c>
      <c r="G44" s="7" t="n">
        <v>46267</v>
      </c>
      <c r="H44" t="inlineStr">
        <is>
          <t>A00000000259302</t>
        </is>
      </c>
      <c r="I44" s="8" t="n">
        <v>600</v>
      </c>
      <c r="J44" s="9" t="n">
        <v>15.19</v>
      </c>
      <c r="K44" s="9">
        <f>J44-F44</f>
        <v/>
      </c>
      <c r="L44" s="10">
        <f>K44/F44</f>
        <v/>
      </c>
      <c r="M44" s="11">
        <f>IF(K44&gt;0,"Artış","Düşüş")</f>
        <v/>
      </c>
      <c r="N44" t="inlineStr">
        <is>
          <t>Kur dönemi değişti (48→49)</t>
        </is>
      </c>
      <c r="O44" t="n">
        <v>49</v>
      </c>
      <c r="P44" s="12">
        <f>I44*K44</f>
        <v/>
      </c>
    </row>
    <row r="45">
      <c r="A45" t="inlineStr">
        <is>
          <t>RBK006</t>
        </is>
      </c>
      <c r="B45" t="inlineStr">
        <is>
          <t>KRİSTAL KARE KASE 300ML SB.D11 PK/12 KL/288 AD</t>
        </is>
      </c>
      <c r="C45" s="7" t="n">
        <v>46258</v>
      </c>
      <c r="D45" t="inlineStr">
        <is>
          <t>A00000000258719</t>
        </is>
      </c>
      <c r="E45" s="8" t="n">
        <v>576</v>
      </c>
      <c r="F45" s="9" t="n">
        <v>10.56</v>
      </c>
      <c r="G45" s="7" t="n">
        <v>46267</v>
      </c>
      <c r="H45" t="inlineStr">
        <is>
          <t>A00000000259302</t>
        </is>
      </c>
      <c r="I45" s="8" t="n">
        <v>1728</v>
      </c>
      <c r="J45" s="9" t="n">
        <v>10.78</v>
      </c>
      <c r="K45" s="9">
        <f>J45-F45</f>
        <v/>
      </c>
      <c r="L45" s="10">
        <f>K45/F45</f>
        <v/>
      </c>
      <c r="M45" s="11">
        <f>IF(K45&gt;0,"Artış","Düşüş")</f>
        <v/>
      </c>
      <c r="N45" t="inlineStr">
        <is>
          <t>Kur dönemi değişti (48→49)</t>
        </is>
      </c>
      <c r="O45" t="n">
        <v>49</v>
      </c>
      <c r="P45" s="12">
        <f>I45*K45</f>
        <v/>
      </c>
    </row>
    <row r="46">
      <c r="A46" t="inlineStr">
        <is>
          <t>RBK007</t>
        </is>
      </c>
      <c r="B46" t="inlineStr">
        <is>
          <t>KARE KASE BOMBE KAPAK LD.D11 PK/48AD KL/12PK</t>
        </is>
      </c>
      <c r="C46" s="7" t="n">
        <v>46258</v>
      </c>
      <c r="D46" t="inlineStr">
        <is>
          <t>A00000000258719</t>
        </is>
      </c>
      <c r="E46" s="8" t="n">
        <v>576</v>
      </c>
      <c r="F46" s="9" t="n">
        <v>4.32</v>
      </c>
      <c r="G46" s="7" t="n">
        <v>46267</v>
      </c>
      <c r="H46" t="inlineStr">
        <is>
          <t>A00000000259302</t>
        </is>
      </c>
      <c r="I46" s="8" t="n">
        <v>1728</v>
      </c>
      <c r="J46" s="9" t="n">
        <v>4.41</v>
      </c>
      <c r="K46" s="9">
        <f>J46-F46</f>
        <v/>
      </c>
      <c r="L46" s="10">
        <f>K46/F46</f>
        <v/>
      </c>
      <c r="M46" s="11">
        <f>IF(K46&gt;0,"Artış","Düşüş")</f>
        <v/>
      </c>
      <c r="N46" t="inlineStr">
        <is>
          <t>Kur dönemi değişti (48→49)</t>
        </is>
      </c>
      <c r="O46" t="n">
        <v>49</v>
      </c>
      <c r="P46" s="12">
        <f>I46*K46</f>
        <v/>
      </c>
    </row>
    <row r="47">
      <c r="A47" t="inlineStr">
        <is>
          <t>BN078</t>
        </is>
      </c>
      <c r="B47" t="inlineStr">
        <is>
          <t>BEYAZ KAPSÜL NO:5 50X40 PK/500AD</t>
        </is>
      </c>
      <c r="C47" s="7" t="n">
        <v>46218</v>
      </c>
      <c r="D47" t="inlineStr">
        <is>
          <t>A00000000255479</t>
        </is>
      </c>
      <c r="E47" s="8" t="n">
        <v>5</v>
      </c>
      <c r="F47" s="9" t="n">
        <v>239.568</v>
      </c>
      <c r="G47" s="7" t="n">
        <v>46273</v>
      </c>
      <c r="H47" t="inlineStr">
        <is>
          <t>A00000000259731</t>
        </is>
      </c>
      <c r="I47" s="8" t="n">
        <v>5</v>
      </c>
      <c r="J47" s="9" t="n">
        <v>245</v>
      </c>
      <c r="K47" s="9">
        <f>J47-F47</f>
        <v/>
      </c>
      <c r="L47" s="10">
        <f>K47/F47</f>
        <v/>
      </c>
      <c r="M47" s="11">
        <f>IF(K47&gt;0,"Artış","Düşüş")</f>
        <v/>
      </c>
      <c r="N47" t="inlineStr">
        <is>
          <t>Kur dönemi değişti (48→49)</t>
        </is>
      </c>
      <c r="O47" t="n">
        <v>49</v>
      </c>
      <c r="P47" s="12">
        <f>I47*K47</f>
        <v/>
      </c>
    </row>
    <row r="48">
      <c r="A48" t="inlineStr">
        <is>
          <t>GUS083</t>
        </is>
      </c>
      <c r="B48" t="inlineStr">
        <is>
          <t>GUSSE ŞURUP 0,70LT KARAMEL</t>
        </is>
      </c>
      <c r="C48" s="7" t="n">
        <v>46252</v>
      </c>
      <c r="D48" t="inlineStr">
        <is>
          <t>A00000000258131</t>
        </is>
      </c>
      <c r="E48" s="8" t="n">
        <v>12</v>
      </c>
      <c r="F48" s="9" t="n">
        <v>392.4</v>
      </c>
      <c r="G48" s="7" t="n">
        <v>46274</v>
      </c>
      <c r="H48" t="inlineStr">
        <is>
          <t>A00000000259846</t>
        </is>
      </c>
      <c r="I48" s="8" t="n">
        <v>4</v>
      </c>
      <c r="J48" s="9" t="n">
        <v>365.4</v>
      </c>
      <c r="K48" s="9">
        <f>J48-F48</f>
        <v/>
      </c>
      <c r="L48" s="10">
        <f>K48/F48</f>
        <v/>
      </c>
      <c r="M48" s="13">
        <f>IF(K48&gt;0,"Artış","Düşüş")</f>
        <v/>
      </c>
      <c r="N48" t="inlineStr">
        <is>
          <t>TL sabit fiyat değişti</t>
        </is>
      </c>
      <c r="O48" t="n">
        <v>49</v>
      </c>
      <c r="P48" s="12">
        <f>I48*K48</f>
        <v/>
      </c>
    </row>
    <row r="49">
      <c r="A49" t="inlineStr">
        <is>
          <t>GUS087</t>
        </is>
      </c>
      <c r="B49" t="inlineStr">
        <is>
          <t>GUSSE ŞURUP 0,70LT VANİLYA</t>
        </is>
      </c>
      <c r="C49" s="7" t="n">
        <v>46252</v>
      </c>
      <c r="D49" t="inlineStr">
        <is>
          <t>A00000000258131</t>
        </is>
      </c>
      <c r="E49" s="8" t="n">
        <v>12</v>
      </c>
      <c r="F49" s="9" t="n">
        <v>392.4</v>
      </c>
      <c r="G49" s="7" t="n">
        <v>46274</v>
      </c>
      <c r="H49" t="inlineStr">
        <is>
          <t>A00000000259846</t>
        </is>
      </c>
      <c r="I49" s="8" t="n">
        <v>12</v>
      </c>
      <c r="J49" s="9" t="n">
        <v>365.4</v>
      </c>
      <c r="K49" s="9">
        <f>J49-F49</f>
        <v/>
      </c>
      <c r="L49" s="10">
        <f>K49/F49</f>
        <v/>
      </c>
      <c r="M49" s="13">
        <f>IF(K49&gt;0,"Artış","Düşüş")</f>
        <v/>
      </c>
      <c r="N49" t="inlineStr">
        <is>
          <t>TL sabit fiyat değişti</t>
        </is>
      </c>
      <c r="O49" t="n">
        <v>49</v>
      </c>
      <c r="P49" s="12">
        <f>I49*K49</f>
        <v/>
      </c>
    </row>
    <row r="50">
      <c r="A50" t="inlineStr">
        <is>
          <t>PTS038</t>
        </is>
      </c>
      <c r="B50" t="inlineStr">
        <is>
          <t>BİO PİPET BEYAZ 8X24 SARGILI PK/250AD KL/20</t>
        </is>
      </c>
      <c r="C50" s="7" t="n">
        <v>46238</v>
      </c>
      <c r="D50" t="inlineStr">
        <is>
          <t>A00000000257116</t>
        </is>
      </c>
      <c r="E50" s="8" t="n">
        <v>20</v>
      </c>
      <c r="F50" s="9" t="n">
        <v>276</v>
      </c>
      <c r="G50" s="7" t="n">
        <v>46274</v>
      </c>
      <c r="H50" t="inlineStr">
        <is>
          <t>A00000000259852</t>
        </is>
      </c>
      <c r="I50" s="8" t="n">
        <v>20</v>
      </c>
      <c r="J50" s="9" t="n">
        <v>281.75</v>
      </c>
      <c r="K50" s="9">
        <f>J50-F50</f>
        <v/>
      </c>
      <c r="L50" s="10">
        <f>K50/F50</f>
        <v/>
      </c>
      <c r="M50" s="11">
        <f>IF(K50&gt;0,"Artış","Düşüş")</f>
        <v/>
      </c>
      <c r="N50" t="inlineStr">
        <is>
          <t>Kur dönemi değişti (48→49)</t>
        </is>
      </c>
      <c r="O50" t="n">
        <v>49</v>
      </c>
      <c r="P50" s="12">
        <f>I50*K50</f>
        <v/>
      </c>
    </row>
    <row r="51">
      <c r="A51" t="inlineStr">
        <is>
          <t>SYM001</t>
        </is>
      </c>
      <c r="B51" t="inlineStr">
        <is>
          <t>PE ELDİVEN ŞEFFAF L PK/100 AD DR PACK KL/100 PKT</t>
        </is>
      </c>
      <c r="C51" s="7" t="n">
        <v>46260</v>
      </c>
      <c r="D51" t="inlineStr">
        <is>
          <t>A00000000258910</t>
        </is>
      </c>
      <c r="E51" s="8" t="n">
        <v>100</v>
      </c>
      <c r="F51" s="9" t="n">
        <v>37.333</v>
      </c>
      <c r="G51" s="7" t="n">
        <v>46274</v>
      </c>
      <c r="H51" t="inlineStr">
        <is>
          <t>A00000000259852</t>
        </is>
      </c>
      <c r="I51" s="8" t="n">
        <v>100</v>
      </c>
      <c r="J51" s="9" t="n">
        <v>38.1107</v>
      </c>
      <c r="K51" s="9">
        <f>J51-F51</f>
        <v/>
      </c>
      <c r="L51" s="10">
        <f>K51/F51</f>
        <v/>
      </c>
      <c r="M51" s="11">
        <f>IF(K51&gt;0,"Artış","Düşüş")</f>
        <v/>
      </c>
      <c r="N51" t="inlineStr">
        <is>
          <t>Kur dönemi değişti (48→49)</t>
        </is>
      </c>
      <c r="O51" t="n">
        <v>49</v>
      </c>
      <c r="P51" s="12">
        <f>I51*K51</f>
        <v/>
      </c>
    </row>
    <row r="52">
      <c r="A52" t="inlineStr">
        <is>
          <t>IMP005</t>
        </is>
      </c>
      <c r="B52" t="inlineStr">
        <is>
          <t>CAM KAVANOZ +KAPAK 300 CC</t>
        </is>
      </c>
      <c r="C52" s="7" t="n">
        <v>46238</v>
      </c>
      <c r="D52" t="inlineStr">
        <is>
          <t>A00000000257116</t>
        </is>
      </c>
      <c r="E52" s="8" t="n">
        <v>100</v>
      </c>
      <c r="F52" s="9" t="n">
        <v>22.5934</v>
      </c>
      <c r="G52" s="7" t="n">
        <v>46281</v>
      </c>
      <c r="H52" t="inlineStr">
        <is>
          <t>A00000000260500</t>
        </is>
      </c>
      <c r="I52" s="8" t="n">
        <v>100</v>
      </c>
      <c r="J52" s="9" t="n">
        <v>23.0641</v>
      </c>
      <c r="K52" s="9">
        <f>J52-F52</f>
        <v/>
      </c>
      <c r="L52" s="10">
        <f>K52/F52</f>
        <v/>
      </c>
      <c r="M52" s="11">
        <f>IF(K52&gt;0,"Artış","Düşüş")</f>
        <v/>
      </c>
      <c r="N52" t="inlineStr">
        <is>
          <t>Kur dönemi değişti (48→49)</t>
        </is>
      </c>
      <c r="O52" t="n">
        <v>49</v>
      </c>
      <c r="P52" s="12">
        <f>I52*K52</f>
        <v/>
      </c>
    </row>
    <row r="53">
      <c r="A53" t="inlineStr">
        <is>
          <t>PCK1113</t>
        </is>
      </c>
      <c r="B53" t="inlineStr">
        <is>
          <t>ÇİZGİLİ ŞAMUA 40 X 60</t>
        </is>
      </c>
      <c r="C53" s="7" t="n">
        <v>46267</v>
      </c>
      <c r="D53" t="inlineStr">
        <is>
          <t>A00000000259302</t>
        </is>
      </c>
      <c r="E53" s="8" t="n">
        <v>10</v>
      </c>
      <c r="F53" s="9" t="n">
        <v>230</v>
      </c>
      <c r="G53" s="7" t="n">
        <v>46294</v>
      </c>
      <c r="H53" t="inlineStr">
        <is>
          <t>A00000000261567</t>
        </is>
      </c>
      <c r="I53" s="8" t="n">
        <v>10</v>
      </c>
      <c r="J53" s="9" t="n">
        <v>220</v>
      </c>
      <c r="K53" s="9">
        <f>J53-F53</f>
        <v/>
      </c>
      <c r="L53" s="10">
        <f>K53/F53</f>
        <v/>
      </c>
      <c r="M53" s="13">
        <f>IF(K53&gt;0,"Artış","Düşüş")</f>
        <v/>
      </c>
      <c r="N53" t="inlineStr">
        <is>
          <t>Döviz (USD) liste fiyatı değişti</t>
        </is>
      </c>
      <c r="O53" t="n">
        <v>49</v>
      </c>
      <c r="P53" s="12">
        <f>I53*K53</f>
        <v/>
      </c>
    </row>
    <row r="54">
      <c r="A54" t="inlineStr">
        <is>
          <t>BRG010</t>
        </is>
      </c>
      <c r="B54" t="inlineStr">
        <is>
          <t>KC280 MODERNA PS KARE KAP +KAPAK KL/400</t>
        </is>
      </c>
      <c r="C54" s="7" t="n">
        <v>46238</v>
      </c>
      <c r="D54" t="inlineStr">
        <is>
          <t>A00000000257116</t>
        </is>
      </c>
      <c r="E54" s="8" t="n">
        <v>400</v>
      </c>
      <c r="F54" s="9" t="n">
        <v>17.112</v>
      </c>
      <c r="G54" s="7" t="n">
        <v>46296</v>
      </c>
      <c r="H54" t="inlineStr">
        <is>
          <t>A00000000261821</t>
        </is>
      </c>
      <c r="I54" s="8" t="n">
        <v>400</v>
      </c>
      <c r="J54" s="9" t="n">
        <v>14.7</v>
      </c>
      <c r="K54" s="9">
        <f>J54-F54</f>
        <v/>
      </c>
      <c r="L54" s="10">
        <f>K54/F54</f>
        <v/>
      </c>
      <c r="M54" s="13">
        <f>IF(K54&gt;0,"Artış","Düşüş")</f>
        <v/>
      </c>
      <c r="N54" t="inlineStr">
        <is>
          <t>Kur 48→49 + döviz fiyatı değişti</t>
        </is>
      </c>
      <c r="O54" t="n">
        <v>49</v>
      </c>
      <c r="P54" s="12">
        <f>I54*K54</f>
        <v/>
      </c>
    </row>
    <row r="55">
      <c r="A55" t="inlineStr">
        <is>
          <t>MTP089</t>
        </is>
      </c>
      <c r="B55" t="inlineStr">
        <is>
          <t>PP SOS KABI KAPAKLI 1 0Z 30 ML PK/50AD KL/20PK</t>
        </is>
      </c>
      <c r="C55" s="7" t="n">
        <v>46267</v>
      </c>
      <c r="D55" t="inlineStr">
        <is>
          <t>A00000000259302</t>
        </is>
      </c>
      <c r="E55" s="8" t="n">
        <v>20</v>
      </c>
      <c r="F55" s="9" t="n">
        <v>43.12</v>
      </c>
      <c r="G55" s="7" t="n">
        <v>46296</v>
      </c>
      <c r="H55" t="inlineStr">
        <is>
          <t>A00000000261821</t>
        </is>
      </c>
      <c r="I55" s="8" t="n">
        <v>20</v>
      </c>
      <c r="J55" s="9" t="n">
        <v>44.1</v>
      </c>
      <c r="K55" s="9">
        <f>J55-F55</f>
        <v/>
      </c>
      <c r="L55" s="10">
        <f>K55/F55</f>
        <v/>
      </c>
      <c r="M55" s="11">
        <f>IF(K55&gt;0,"Artış","Düşüş")</f>
        <v/>
      </c>
      <c r="N55" t="inlineStr">
        <is>
          <t>Döviz (USD) liste fiyatı değişti</t>
        </is>
      </c>
      <c r="O55" t="n">
        <v>49</v>
      </c>
      <c r="P55" s="12">
        <f>I55*K55</f>
        <v/>
      </c>
    </row>
    <row r="56">
      <c r="A56" t="inlineStr">
        <is>
          <t>PCK1113</t>
        </is>
      </c>
      <c r="B56" t="inlineStr">
        <is>
          <t>ÇİZGİLİ ŞAMUA 40 X 60</t>
        </is>
      </c>
      <c r="C56" s="7" t="n">
        <v>46294</v>
      </c>
      <c r="D56" t="inlineStr">
        <is>
          <t>A00000000261567</t>
        </is>
      </c>
      <c r="E56" s="8" t="n">
        <v>10</v>
      </c>
      <c r="F56" s="9" t="n">
        <v>220</v>
      </c>
      <c r="G56" s="7" t="n">
        <v>46296</v>
      </c>
      <c r="H56" t="inlineStr">
        <is>
          <t>A00000000261821</t>
        </is>
      </c>
      <c r="I56" s="8" t="n">
        <v>15</v>
      </c>
      <c r="J56" s="9" t="n">
        <v>230</v>
      </c>
      <c r="K56" s="9">
        <f>J56-F56</f>
        <v/>
      </c>
      <c r="L56" s="10">
        <f>K56/F56</f>
        <v/>
      </c>
      <c r="M56" s="11">
        <f>IF(K56&gt;0,"Artış","Düşüş")</f>
        <v/>
      </c>
      <c r="N56" t="inlineStr">
        <is>
          <t>Döviz (USD) liste fiyatı değişti</t>
        </is>
      </c>
      <c r="O56" t="n">
        <v>49</v>
      </c>
      <c r="P56" s="12">
        <f>I56*K56</f>
        <v/>
      </c>
    </row>
    <row r="57">
      <c r="A57" t="inlineStr">
        <is>
          <t>MRK004</t>
        </is>
      </c>
      <c r="B57" t="inlineStr">
        <is>
          <t>TAHTA DONDURMA KAŞIK 11CM (PK/100AD KL/100PK)</t>
        </is>
      </c>
      <c r="C57" s="7" t="n">
        <v>46232</v>
      </c>
      <c r="D57" t="inlineStr">
        <is>
          <t>A00000000256678</t>
        </is>
      </c>
      <c r="E57" s="8" t="n">
        <v>100</v>
      </c>
      <c r="F57" s="9" t="n">
        <v>96</v>
      </c>
      <c r="G57" s="7" t="n">
        <v>46297</v>
      </c>
      <c r="H57" t="inlineStr">
        <is>
          <t>A00000000261813</t>
        </is>
      </c>
      <c r="I57" s="8" t="n">
        <v>100</v>
      </c>
      <c r="J57" s="9" t="n">
        <v>98</v>
      </c>
      <c r="K57" s="9">
        <f>J57-F57</f>
        <v/>
      </c>
      <c r="L57" s="10">
        <f>K57/F57</f>
        <v/>
      </c>
      <c r="M57" s="11">
        <f>IF(K57&gt;0,"Artış","Düşüş")</f>
        <v/>
      </c>
      <c r="N57" t="inlineStr">
        <is>
          <t>Kur dönemi değişti (48→49)</t>
        </is>
      </c>
      <c r="O57" t="n">
        <v>49</v>
      </c>
      <c r="P57" s="12">
        <f>I57*K57</f>
        <v/>
      </c>
    </row>
    <row r="58">
      <c r="A58" t="inlineStr">
        <is>
          <t>GUS083</t>
        </is>
      </c>
      <c r="B58" t="inlineStr">
        <is>
          <t>GUSSE ŞURUP 0,70LT KARAMEL</t>
        </is>
      </c>
      <c r="C58" s="7" t="n">
        <v>46274</v>
      </c>
      <c r="D58" t="inlineStr">
        <is>
          <t>A00000000259846</t>
        </is>
      </c>
      <c r="E58" s="8" t="n">
        <v>4</v>
      </c>
      <c r="F58" s="9" t="n">
        <v>365.4</v>
      </c>
      <c r="G58" s="7" t="n">
        <v>46301</v>
      </c>
      <c r="H58" t="inlineStr">
        <is>
          <t>A00000000262148</t>
        </is>
      </c>
      <c r="I58" s="8" t="n">
        <v>6</v>
      </c>
      <c r="J58" s="9" t="n">
        <v>406</v>
      </c>
      <c r="K58" s="9">
        <f>J58-F58</f>
        <v/>
      </c>
      <c r="L58" s="10">
        <f>K58/F58</f>
        <v/>
      </c>
      <c r="M58" s="11">
        <f>IF(K58&gt;0,"Artış","Düşüş")</f>
        <v/>
      </c>
      <c r="N58" t="inlineStr">
        <is>
          <t>TL sabit fiyat değişti</t>
        </is>
      </c>
      <c r="O58" t="n">
        <v>49</v>
      </c>
      <c r="P58" s="12">
        <f>I58*K58</f>
        <v/>
      </c>
    </row>
    <row r="59">
      <c r="A59" t="inlineStr">
        <is>
          <t>GUS195</t>
        </is>
      </c>
      <c r="B59" t="inlineStr">
        <is>
          <t>GUSSTEA   YEŞİL ÇAY 250G</t>
        </is>
      </c>
      <c r="C59" s="7" t="n">
        <v>46256</v>
      </c>
      <c r="D59" t="inlineStr">
        <is>
          <t>A00000000258550</t>
        </is>
      </c>
      <c r="E59" s="8" t="n">
        <v>1</v>
      </c>
      <c r="F59" s="9" t="n">
        <v>458.2417</v>
      </c>
      <c r="G59" s="7" t="n">
        <v>46301</v>
      </c>
      <c r="H59" t="inlineStr">
        <is>
          <t>A00000000262148</t>
        </is>
      </c>
      <c r="I59" s="8" t="n">
        <v>4</v>
      </c>
      <c r="J59" s="9" t="n">
        <v>462.875</v>
      </c>
      <c r="K59" s="9">
        <f>J59-F59</f>
        <v/>
      </c>
      <c r="L59" s="10">
        <f>K59/F59</f>
        <v/>
      </c>
      <c r="M59" s="11">
        <f>IF(K59&gt;0,"Artış","Düşüş")</f>
        <v/>
      </c>
      <c r="N59" t="inlineStr">
        <is>
          <t>TL sabit fiyat değişti</t>
        </is>
      </c>
      <c r="O59" t="n">
        <v>49</v>
      </c>
      <c r="P59" s="12">
        <f>I59*K59</f>
        <v/>
      </c>
    </row>
    <row r="60">
      <c r="A60" t="inlineStr">
        <is>
          <t>GUS196</t>
        </is>
      </c>
      <c r="B60" t="inlineStr">
        <is>
          <t>GUSSTEA   ELMA TARÇIN 250G</t>
        </is>
      </c>
      <c r="C60" s="7" t="n">
        <v>46256</v>
      </c>
      <c r="D60" t="inlineStr">
        <is>
          <t>A00000000258550</t>
        </is>
      </c>
      <c r="E60" s="8" t="n">
        <v>1</v>
      </c>
      <c r="F60" s="9" t="n">
        <v>333.8983</v>
      </c>
      <c r="G60" s="7" t="n">
        <v>46301</v>
      </c>
      <c r="H60" t="inlineStr">
        <is>
          <t>A00000000262148</t>
        </is>
      </c>
      <c r="I60" s="8" t="n">
        <v>4</v>
      </c>
      <c r="J60" s="9" t="n">
        <v>337.2375</v>
      </c>
      <c r="K60" s="9">
        <f>J60-F60</f>
        <v/>
      </c>
      <c r="L60" s="10">
        <f>K60/F60</f>
        <v/>
      </c>
      <c r="M60" s="11">
        <f>IF(K60&gt;0,"Artış","Düşüş")</f>
        <v/>
      </c>
      <c r="N60" t="inlineStr">
        <is>
          <t>TL sabit fiyat değişti</t>
        </is>
      </c>
      <c r="O60" t="n">
        <v>49</v>
      </c>
      <c r="P60" s="12">
        <f>I60*K60</f>
        <v/>
      </c>
    </row>
    <row r="61">
      <c r="A61" t="inlineStr">
        <is>
          <t>AMB004</t>
        </is>
      </c>
      <c r="B61" t="inlineStr">
        <is>
          <t>PİZZA KUTUSU 33 X 33  PK/90 AD</t>
        </is>
      </c>
      <c r="C61" s="7" t="n">
        <v>46267</v>
      </c>
      <c r="D61" t="inlineStr">
        <is>
          <t>A00000000259302</t>
        </is>
      </c>
      <c r="E61" s="8" t="n">
        <v>4</v>
      </c>
      <c r="F61" s="9" t="n">
        <v>1042.72</v>
      </c>
      <c r="G61" s="7" t="n">
        <v>46302</v>
      </c>
      <c r="H61" t="inlineStr">
        <is>
          <t>A00000000262235</t>
        </is>
      </c>
      <c r="I61" s="8" t="n">
        <v>5</v>
      </c>
      <c r="J61" s="9" t="n">
        <v>1021</v>
      </c>
      <c r="K61" s="9">
        <f>J61-F61</f>
        <v/>
      </c>
      <c r="L61" s="10">
        <f>K61/F61</f>
        <v/>
      </c>
      <c r="M61" s="13">
        <f>IF(K61&gt;0,"Artış","Düşüş")</f>
        <v/>
      </c>
      <c r="N61" t="inlineStr">
        <is>
          <t>Döviz (USD) liste fiyatı değişti</t>
        </is>
      </c>
      <c r="O61" t="n">
        <v>49</v>
      </c>
      <c r="P61" s="12">
        <f>I61*K61</f>
        <v/>
      </c>
    </row>
    <row r="62">
      <c r="A62" t="inlineStr">
        <is>
          <t>BN052</t>
        </is>
      </c>
      <c r="B62" t="inlineStr">
        <is>
          <t>MAXİ EKLER BEYAZ KAPSÜL 110X38X25 500/PK</t>
        </is>
      </c>
      <c r="C62" s="7" t="n">
        <v>46218</v>
      </c>
      <c r="D62" t="inlineStr">
        <is>
          <t>A00000000255479</t>
        </is>
      </c>
      <c r="E62" s="8" t="n">
        <v>3</v>
      </c>
      <c r="F62" s="9" t="n">
        <v>205.3433</v>
      </c>
      <c r="G62" s="7" t="n">
        <v>46302</v>
      </c>
      <c r="H62" t="inlineStr">
        <is>
          <t>A00000000262235</t>
        </is>
      </c>
      <c r="I62" s="8" t="n">
        <v>2</v>
      </c>
      <c r="J62" s="9" t="n">
        <v>209.62</v>
      </c>
      <c r="K62" s="9">
        <f>J62-F62</f>
        <v/>
      </c>
      <c r="L62" s="10">
        <f>K62/F62</f>
        <v/>
      </c>
      <c r="M62" s="11">
        <f>IF(K62&gt;0,"Artış","Düşüş")</f>
        <v/>
      </c>
      <c r="N62" t="inlineStr">
        <is>
          <t>Kur dönemi değişti (48→49)</t>
        </is>
      </c>
      <c r="O62" t="n">
        <v>49</v>
      </c>
      <c r="P62" s="12">
        <f>I62*K62</f>
        <v/>
      </c>
    </row>
    <row r="63">
      <c r="A63" t="inlineStr">
        <is>
          <t>CAG018</t>
        </is>
      </c>
      <c r="B63" t="inlineStr">
        <is>
          <t>NARİN BAGET 12X42 BEYAZ YAĞLI</t>
        </is>
      </c>
      <c r="C63" s="7" t="n">
        <v>46231</v>
      </c>
      <c r="D63" t="inlineStr">
        <is>
          <t>A00000000256596</t>
        </is>
      </c>
      <c r="E63" s="8" t="n">
        <v>5</v>
      </c>
      <c r="F63" s="9" t="n">
        <v>320</v>
      </c>
      <c r="G63" s="7" t="n">
        <v>46302</v>
      </c>
      <c r="H63" t="inlineStr">
        <is>
          <t>A00000000262300</t>
        </is>
      </c>
      <c r="I63" s="8" t="n">
        <v>10</v>
      </c>
      <c r="J63" s="9" t="n">
        <v>371.91</v>
      </c>
      <c r="K63" s="9">
        <f>J63-F63</f>
        <v/>
      </c>
      <c r="L63" s="10">
        <f>K63/F63</f>
        <v/>
      </c>
      <c r="M63" s="11">
        <f>IF(K63&gt;0,"Artış","Düşüş")</f>
        <v/>
      </c>
      <c r="N63" t="inlineStr">
        <is>
          <t>Kur 48→49 + döviz fiyatı değişti</t>
        </is>
      </c>
      <c r="O63" t="n">
        <v>49</v>
      </c>
      <c r="P63" s="12">
        <f>I63*K63</f>
        <v/>
      </c>
    </row>
    <row r="64">
      <c r="A64" t="inlineStr">
        <is>
          <t>PCK1113</t>
        </is>
      </c>
      <c r="B64" t="inlineStr">
        <is>
          <t>ÇİZGİLİ ŞAMUA 40 X 60</t>
        </is>
      </c>
      <c r="C64" s="7" t="n">
        <v>46296</v>
      </c>
      <c r="D64" t="inlineStr">
        <is>
          <t>A00000000261821</t>
        </is>
      </c>
      <c r="E64" s="8" t="n">
        <v>15</v>
      </c>
      <c r="F64" s="9" t="n">
        <v>230</v>
      </c>
      <c r="G64" s="7" t="n">
        <v>46302</v>
      </c>
      <c r="H64" t="inlineStr">
        <is>
          <t>A00000000262235</t>
        </is>
      </c>
      <c r="I64" s="8" t="n">
        <v>10</v>
      </c>
      <c r="J64" s="9" t="n">
        <v>220</v>
      </c>
      <c r="K64" s="9">
        <f>J64-F64</f>
        <v/>
      </c>
      <c r="L64" s="10">
        <f>K64/F64</f>
        <v/>
      </c>
      <c r="M64" s="13">
        <f>IF(K64&gt;0,"Artış","Düşüş")</f>
        <v/>
      </c>
      <c r="N64" t="inlineStr">
        <is>
          <t>Döviz (USD) liste fiyatı değişti</t>
        </is>
      </c>
      <c r="O64" t="n">
        <v>49</v>
      </c>
      <c r="P64" s="12">
        <f>I64*K64</f>
        <v/>
      </c>
    </row>
    <row r="65">
      <c r="A65" t="inlineStr">
        <is>
          <t>SYM001</t>
        </is>
      </c>
      <c r="B65" t="inlineStr">
        <is>
          <t>PE ELDİVEN ŞEFFAF L PK/100 AD DR PACK KL/100 PKT</t>
        </is>
      </c>
      <c r="C65" s="7" t="n">
        <v>46274</v>
      </c>
      <c r="D65" t="inlineStr">
        <is>
          <t>A00000000259852</t>
        </is>
      </c>
      <c r="E65" s="8" t="n">
        <v>100</v>
      </c>
      <c r="F65" s="9" t="n">
        <v>38.1107</v>
      </c>
      <c r="G65" s="7" t="n">
        <v>46302</v>
      </c>
      <c r="H65" t="inlineStr">
        <is>
          <t>A00000000262235</t>
        </is>
      </c>
      <c r="I65" s="8" t="n">
        <v>100</v>
      </c>
      <c r="J65" s="9" t="n">
        <v>35</v>
      </c>
      <c r="K65" s="9">
        <f>J65-F65</f>
        <v/>
      </c>
      <c r="L65" s="10">
        <f>K65/F65</f>
        <v/>
      </c>
      <c r="M65" s="13">
        <f>IF(K65&gt;0,"Artış","Düşüş")</f>
        <v/>
      </c>
      <c r="N65" t="inlineStr">
        <is>
          <t>Döviz (USD) liste fiyatı değişti</t>
        </is>
      </c>
      <c r="O65" t="n">
        <v>49</v>
      </c>
      <c r="P65" s="12">
        <f>I65*K65</f>
        <v/>
      </c>
    </row>
    <row r="66">
      <c r="A66" t="inlineStr">
        <is>
          <t>BRG010</t>
        </is>
      </c>
      <c r="B66" t="inlineStr">
        <is>
          <t>KC280 MODERNA PS KARE KAP +KAPAK KL/400</t>
        </is>
      </c>
      <c r="C66" s="7" t="n">
        <v>46296</v>
      </c>
      <c r="D66" t="inlineStr">
        <is>
          <t>A00000000261821</t>
        </is>
      </c>
      <c r="E66" s="8" t="n">
        <v>400</v>
      </c>
      <c r="F66" s="9" t="n">
        <v>14.7</v>
      </c>
      <c r="G66" s="7" t="n">
        <v>46308</v>
      </c>
      <c r="H66" t="inlineStr">
        <is>
          <t>A00000000262812</t>
        </is>
      </c>
      <c r="I66" s="8" t="n">
        <v>800</v>
      </c>
      <c r="J66" s="9" t="n">
        <v>15</v>
      </c>
      <c r="K66" s="9">
        <f>J66-F66</f>
        <v/>
      </c>
      <c r="L66" s="10">
        <f>K66/F66</f>
        <v/>
      </c>
      <c r="M66" s="11">
        <f>IF(K66&gt;0,"Artış","Düşüş")</f>
        <v/>
      </c>
      <c r="N66" t="inlineStr">
        <is>
          <t>Kur dönemi değişti (49→50)</t>
        </is>
      </c>
      <c r="O66" t="n">
        <v>50</v>
      </c>
      <c r="P66" s="12">
        <f>I66*K66</f>
        <v/>
      </c>
    </row>
    <row r="67">
      <c r="A67" t="inlineStr">
        <is>
          <t>KRK038</t>
        </is>
      </c>
      <c r="B67" t="inlineStr">
        <is>
          <t>ÇÖP ŞİŞ 25 CM PK/100  KL/200PK</t>
        </is>
      </c>
      <c r="C67" s="7" t="n">
        <v>46238</v>
      </c>
      <c r="D67" t="inlineStr">
        <is>
          <t>A00000000257116</t>
        </is>
      </c>
      <c r="E67" s="8" t="n">
        <v>20</v>
      </c>
      <c r="F67" s="9" t="n">
        <v>36.432</v>
      </c>
      <c r="G67" s="7" t="n">
        <v>46308</v>
      </c>
      <c r="H67" t="inlineStr">
        <is>
          <t>A00000000262812</t>
        </is>
      </c>
      <c r="I67" s="8" t="n">
        <v>20</v>
      </c>
      <c r="J67" s="9" t="n">
        <v>37.95</v>
      </c>
      <c r="K67" s="9">
        <f>J67-F67</f>
        <v/>
      </c>
      <c r="L67" s="10">
        <f>K67/F67</f>
        <v/>
      </c>
      <c r="M67" s="11">
        <f>IF(K67&gt;0,"Artış","Düşüş")</f>
        <v/>
      </c>
      <c r="N67" t="inlineStr">
        <is>
          <t>Kur dönemi değişti (48→50)</t>
        </is>
      </c>
      <c r="O67" t="n">
        <v>50</v>
      </c>
      <c r="P67" s="12">
        <f>I67*K67</f>
        <v/>
      </c>
    </row>
    <row r="68">
      <c r="A68" t="inlineStr">
        <is>
          <t>MRK002</t>
        </is>
      </c>
      <c r="B68" t="inlineStr">
        <is>
          <t>TAHTA ÇATAL 16CM (PK/100AD KL/50PK)</t>
        </is>
      </c>
      <c r="C68" s="7" t="n">
        <v>46297</v>
      </c>
      <c r="D68" t="inlineStr">
        <is>
          <t>A00000000261813</t>
        </is>
      </c>
      <c r="E68" s="8" t="n">
        <v>10</v>
      </c>
      <c r="F68" s="9" t="n">
        <v>132.3</v>
      </c>
      <c r="G68" s="7" t="n">
        <v>46308</v>
      </c>
      <c r="H68" t="inlineStr">
        <is>
          <t>A00000000262812</t>
        </is>
      </c>
      <c r="I68" s="8" t="n">
        <v>10</v>
      </c>
      <c r="J68" s="9" t="n">
        <v>135</v>
      </c>
      <c r="K68" s="9">
        <f>J68-F68</f>
        <v/>
      </c>
      <c r="L68" s="10">
        <f>K68/F68</f>
        <v/>
      </c>
      <c r="M68" s="11">
        <f>IF(K68&gt;0,"Artış","Düşüş")</f>
        <v/>
      </c>
      <c r="N68" t="inlineStr">
        <is>
          <t>Kur dönemi değişti (49→50)</t>
        </is>
      </c>
      <c r="O68" t="n">
        <v>50</v>
      </c>
      <c r="P68" s="12">
        <f>I68*K68</f>
        <v/>
      </c>
    </row>
    <row r="69">
      <c r="A69" t="inlineStr">
        <is>
          <t>PL001</t>
        </is>
      </c>
      <c r="B69" t="inlineStr">
        <is>
          <t>300 ML ŞEFFAF KARE PET ŞİŞE 19,5GR+KAPAK PK/50AD</t>
        </is>
      </c>
      <c r="C69" s="7" t="n">
        <v>46296</v>
      </c>
      <c r="D69" t="inlineStr">
        <is>
          <t>A00000000261821</t>
        </is>
      </c>
      <c r="E69" s="8" t="n">
        <v>500</v>
      </c>
      <c r="F69" s="9" t="n">
        <v>15.19</v>
      </c>
      <c r="G69" s="7" t="n">
        <v>46308</v>
      </c>
      <c r="H69" t="inlineStr">
        <is>
          <t>A00000000262812</t>
        </is>
      </c>
      <c r="I69" s="8" t="n">
        <v>200</v>
      </c>
      <c r="J69" s="9" t="n">
        <v>15.5</v>
      </c>
      <c r="K69" s="9">
        <f>J69-F69</f>
        <v/>
      </c>
      <c r="L69" s="10">
        <f>K69/F69</f>
        <v/>
      </c>
      <c r="M69" s="11">
        <f>IF(K69&gt;0,"Artış","Düşüş")</f>
        <v/>
      </c>
      <c r="N69" t="inlineStr">
        <is>
          <t>Kur dönemi değişti (49→50)</t>
        </is>
      </c>
      <c r="O69" t="n">
        <v>50</v>
      </c>
      <c r="P69" s="12">
        <f>I69*K69</f>
        <v/>
      </c>
    </row>
    <row r="70">
      <c r="A70" t="inlineStr">
        <is>
          <t>RBK006</t>
        </is>
      </c>
      <c r="B70" t="inlineStr">
        <is>
          <t>KRİSTAL KARE KASE 300ML SB.D11 PK/12 KL/288 AD</t>
        </is>
      </c>
      <c r="C70" s="7" t="n">
        <v>46302</v>
      </c>
      <c r="D70" t="inlineStr">
        <is>
          <t>A00000000262235</t>
        </is>
      </c>
      <c r="E70" s="8" t="n">
        <v>576</v>
      </c>
      <c r="F70" s="9" t="n">
        <v>10.78</v>
      </c>
      <c r="G70" s="7" t="n">
        <v>46308</v>
      </c>
      <c r="H70" t="inlineStr">
        <is>
          <t>A00000000262812</t>
        </is>
      </c>
      <c r="I70" s="8" t="n">
        <v>576</v>
      </c>
      <c r="J70" s="9" t="n">
        <v>11</v>
      </c>
      <c r="K70" s="9">
        <f>J70-F70</f>
        <v/>
      </c>
      <c r="L70" s="10">
        <f>K70/F70</f>
        <v/>
      </c>
      <c r="M70" s="11">
        <f>IF(K70&gt;0,"Artış","Düşüş")</f>
        <v/>
      </c>
      <c r="N70" t="inlineStr">
        <is>
          <t>Kur dönemi değişti (49→50)</t>
        </is>
      </c>
      <c r="O70" t="n">
        <v>50</v>
      </c>
      <c r="P70" s="12">
        <f>I70*K70</f>
        <v/>
      </c>
    </row>
    <row r="71">
      <c r="A71" t="inlineStr">
        <is>
          <t>RBK007</t>
        </is>
      </c>
      <c r="B71" t="inlineStr">
        <is>
          <t>KARE KASE BOMBE KAPAK LD.D11 PK/48AD KL/12PK</t>
        </is>
      </c>
      <c r="C71" s="7" t="n">
        <v>46302</v>
      </c>
      <c r="D71" t="inlineStr">
        <is>
          <t>A00000000262235</t>
        </is>
      </c>
      <c r="E71" s="8" t="n">
        <v>576</v>
      </c>
      <c r="F71" s="9" t="n">
        <v>4.41</v>
      </c>
      <c r="G71" s="7" t="n">
        <v>46308</v>
      </c>
      <c r="H71" t="inlineStr">
        <is>
          <t>A00000000262812</t>
        </is>
      </c>
      <c r="I71" s="8" t="n">
        <v>576</v>
      </c>
      <c r="J71" s="9" t="n">
        <v>4.5</v>
      </c>
      <c r="K71" s="9">
        <f>J71-F71</f>
        <v/>
      </c>
      <c r="L71" s="10">
        <f>K71/F71</f>
        <v/>
      </c>
      <c r="M71" s="11">
        <f>IF(K71&gt;0,"Artış","Düşüş")</f>
        <v/>
      </c>
      <c r="N71" t="inlineStr">
        <is>
          <t>Kur dönemi değişti (49→50)</t>
        </is>
      </c>
      <c r="O71" t="n">
        <v>50</v>
      </c>
      <c r="P71" s="12">
        <f>I71*K71</f>
        <v/>
      </c>
    </row>
    <row r="72">
      <c r="A72" t="inlineStr">
        <is>
          <t>MTP055</t>
        </is>
      </c>
      <c r="B72" t="inlineStr">
        <is>
          <t>LD 06 BOMBE KAPAK PK/60AD KL/10PK</t>
        </is>
      </c>
      <c r="C72" s="7" t="n">
        <v>46267</v>
      </c>
      <c r="D72" t="inlineStr">
        <is>
          <t>A00000000259302</t>
        </is>
      </c>
      <c r="E72" s="8" t="n">
        <v>2400</v>
      </c>
      <c r="F72" s="9" t="n">
        <v>1.8595</v>
      </c>
      <c r="G72" s="7" t="n">
        <v>46311</v>
      </c>
      <c r="H72" t="inlineStr">
        <is>
          <t>A00000000263306</t>
        </is>
      </c>
      <c r="I72" s="8" t="n">
        <v>600</v>
      </c>
      <c r="J72" s="9" t="n">
        <v>1.8975</v>
      </c>
      <c r="K72" s="9">
        <f>J72-F72</f>
        <v/>
      </c>
      <c r="L72" s="10">
        <f>K72/F72</f>
        <v/>
      </c>
      <c r="M72" s="11">
        <f>IF(K72&gt;0,"Artış","Düşüş")</f>
        <v/>
      </c>
      <c r="N72" t="inlineStr">
        <is>
          <t>Kur dönemi değişti (49→50)</t>
        </is>
      </c>
      <c r="O72" t="n">
        <v>50</v>
      </c>
      <c r="P72" s="12">
        <f>I72*K72</f>
        <v/>
      </c>
    </row>
    <row r="73">
      <c r="A73" t="inlineStr">
        <is>
          <t>MTP163</t>
        </is>
      </c>
      <c r="B73" t="inlineStr">
        <is>
          <t>DC 03 AYAKLI KASE 200 ML PK/30AD KL/20PK</t>
        </is>
      </c>
      <c r="C73" s="7" t="n">
        <v>46296</v>
      </c>
      <c r="D73" t="inlineStr">
        <is>
          <t>A00000000261821</t>
        </is>
      </c>
      <c r="E73" s="8" t="n">
        <v>1200</v>
      </c>
      <c r="F73" s="9" t="n">
        <v>6.37</v>
      </c>
      <c r="G73" s="7" t="n">
        <v>46311</v>
      </c>
      <c r="H73" t="inlineStr">
        <is>
          <t>A00000000263306</t>
        </is>
      </c>
      <c r="I73" s="8" t="n">
        <v>600</v>
      </c>
      <c r="J73" s="9" t="n">
        <v>6.5</v>
      </c>
      <c r="K73" s="9">
        <f>J73-F73</f>
        <v/>
      </c>
      <c r="L73" s="10">
        <f>K73/F73</f>
        <v/>
      </c>
      <c r="M73" s="11">
        <f>IF(K73&gt;0,"Artış","Düşüş")</f>
        <v/>
      </c>
      <c r="N73" t="inlineStr">
        <is>
          <t>Kur dönemi değişti (49→50)</t>
        </is>
      </c>
      <c r="O73" t="n">
        <v>50</v>
      </c>
      <c r="P73" s="12">
        <f>I73*K73</f>
        <v/>
      </c>
    </row>
    <row r="74">
      <c r="A74" t="inlineStr">
        <is>
          <t>MC02</t>
        </is>
      </c>
      <c r="B74" t="inlineStr">
        <is>
          <t>KAŞIK NİŞASTA BİO 168MM PK/100AD KL/12PK</t>
        </is>
      </c>
      <c r="C74" s="7" t="n">
        <v>46296</v>
      </c>
      <c r="D74" t="inlineStr">
        <is>
          <t>A00000000261821</t>
        </is>
      </c>
      <c r="E74" s="8" t="n">
        <v>24</v>
      </c>
      <c r="F74" s="9" t="n">
        <v>187.18</v>
      </c>
      <c r="G74" s="7" t="n">
        <v>46315</v>
      </c>
      <c r="H74" t="inlineStr">
        <is>
          <t>A00000000263385</t>
        </is>
      </c>
      <c r="I74" s="8" t="n">
        <v>12</v>
      </c>
      <c r="J74" s="9" t="n">
        <v>191</v>
      </c>
      <c r="K74" s="9">
        <f>J74-F74</f>
        <v/>
      </c>
      <c r="L74" s="10">
        <f>K74/F74</f>
        <v/>
      </c>
      <c r="M74" s="11">
        <f>IF(K74&gt;0,"Artış","Düşüş")</f>
        <v/>
      </c>
      <c r="N74" t="inlineStr">
        <is>
          <t>Kur dönemi değişti (49→50)</t>
        </is>
      </c>
      <c r="O74" t="n">
        <v>50</v>
      </c>
      <c r="P74" s="12">
        <f>I74*K74</f>
        <v/>
      </c>
    </row>
    <row r="75">
      <c r="A75" t="inlineStr">
        <is>
          <t>MKR022</t>
        </is>
      </c>
      <c r="B75" t="inlineStr">
        <is>
          <t>AYAKLI KASE 200 CC KAPAK PK/50AD KL/20PK</t>
        </is>
      </c>
      <c r="C75" s="7" t="n">
        <v>46296</v>
      </c>
      <c r="D75" t="inlineStr">
        <is>
          <t>A00000000261821</t>
        </is>
      </c>
      <c r="E75" s="8" t="n">
        <v>20</v>
      </c>
      <c r="F75" s="9" t="n">
        <v>92.12</v>
      </c>
      <c r="G75" s="7" t="n">
        <v>46315</v>
      </c>
      <c r="H75" t="inlineStr">
        <is>
          <t>A00000000263385</t>
        </is>
      </c>
      <c r="I75" s="8" t="n">
        <v>10</v>
      </c>
      <c r="J75" s="9" t="n">
        <v>94</v>
      </c>
      <c r="K75" s="9">
        <f>J75-F75</f>
        <v/>
      </c>
      <c r="L75" s="10">
        <f>K75/F75</f>
        <v/>
      </c>
      <c r="M75" s="11">
        <f>IF(K75&gt;0,"Artış","Düşüş")</f>
        <v/>
      </c>
      <c r="N75" t="inlineStr">
        <is>
          <t>Kur dönemi değişti (49→50)</t>
        </is>
      </c>
      <c r="O75" t="n">
        <v>50</v>
      </c>
      <c r="P75" s="12">
        <f>I75*K75</f>
        <v/>
      </c>
    </row>
    <row r="76">
      <c r="A76" t="inlineStr">
        <is>
          <t>PCK00203</t>
        </is>
      </c>
      <c r="B76" t="inlineStr">
        <is>
          <t>PİŞİRME 40X60 TABAKA 500 ADETLİ DR PACK 5,24KG/PK</t>
        </is>
      </c>
      <c r="C76" s="7" t="n">
        <v>46296</v>
      </c>
      <c r="D76" t="inlineStr">
        <is>
          <t>A00000000261821</t>
        </is>
      </c>
      <c r="E76" s="8" t="n">
        <v>30</v>
      </c>
      <c r="F76" s="9" t="n">
        <v>1725.4273</v>
      </c>
      <c r="G76" s="7" t="n">
        <v>46315</v>
      </c>
      <c r="H76" t="inlineStr">
        <is>
          <t>A00000000263385</t>
        </is>
      </c>
      <c r="I76" s="8" t="n">
        <v>4</v>
      </c>
      <c r="J76" s="9" t="n">
        <v>1760.64</v>
      </c>
      <c r="K76" s="9">
        <f>J76-F76</f>
        <v/>
      </c>
      <c r="L76" s="10">
        <f>K76/F76</f>
        <v/>
      </c>
      <c r="M76" s="11">
        <f>IF(K76&gt;0,"Artış","Düşüş")</f>
        <v/>
      </c>
      <c r="N76" t="inlineStr">
        <is>
          <t>Kur dönemi değişti (49→50)</t>
        </is>
      </c>
      <c r="O76" t="n">
        <v>50</v>
      </c>
      <c r="P76" s="12">
        <f>I76*K76</f>
        <v/>
      </c>
    </row>
  </sheetData>
  <autoFilter ref="A1:P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12" customWidth="1" min="3" max="3"/>
    <col width="17" customWidth="1" min="4" max="4"/>
    <col width="9" customWidth="1" min="5" max="5"/>
    <col width="7" customWidth="1" min="6" max="6"/>
    <col width="13" customWidth="1" min="7" max="7"/>
    <col width="20" customWidth="1" min="8" max="8"/>
    <col width="13" customWidth="1" min="9" max="9"/>
    <col width="17" customWidth="1" min="10" max="10"/>
    <col width="8" customWidth="1" min="11" max="11"/>
    <col width="12" customWidth="1" min="12" max="12"/>
    <col width="15" customWidth="1" min="13" max="13"/>
    <col width="40" customWidth="1" min="14" max="14"/>
  </cols>
  <sheetData>
    <row r="1" ht="42" customHeight="1">
      <c r="A1" s="6" t="inlineStr">
        <is>
          <t>Stok Kodu</t>
        </is>
      </c>
      <c r="B1" s="6" t="inlineStr">
        <is>
          <t>Stok Adı</t>
        </is>
      </c>
      <c r="C1" s="6" t="inlineStr">
        <is>
          <t>Fatura Tarihi</t>
        </is>
      </c>
      <c r="D1" s="6" t="inlineStr">
        <is>
          <t>Fatura No</t>
        </is>
      </c>
      <c r="E1" s="6" t="inlineStr">
        <is>
          <t>Miktar</t>
        </is>
      </c>
      <c r="F1" s="6" t="inlineStr">
        <is>
          <t>Birim</t>
        </is>
      </c>
      <c r="G1" s="6" t="inlineStr">
        <is>
          <t>Faturalanan Net Fiyat</t>
        </is>
      </c>
      <c r="H1" s="6" t="inlineStr">
        <is>
          <t>Referans Net Fiyat (aynı kur döneminde daha önce kesilen en yüksek)</t>
        </is>
      </c>
      <c r="I1" s="6" t="inlineStr">
        <is>
          <t>Referans Fatura Tarihi</t>
        </is>
      </c>
      <c r="J1" s="6" t="inlineStr">
        <is>
          <t>Referans Fatura No</t>
        </is>
      </c>
      <c r="K1" s="6" t="inlineStr">
        <is>
          <t>Kur Dönemi</t>
        </is>
      </c>
      <c r="L1" s="6" t="inlineStr">
        <is>
          <t>Fiyat Farkı (TL/birim)</t>
        </is>
      </c>
      <c r="M1" s="6" t="inlineStr">
        <is>
          <t>Fiyat Farkı Tutarı (KDV hariç)</t>
        </is>
      </c>
      <c r="N1" s="6" t="inlineStr">
        <is>
          <t>Not</t>
        </is>
      </c>
    </row>
    <row r="2">
      <c r="A2" t="inlineStr">
        <is>
          <t>AMB004</t>
        </is>
      </c>
      <c r="B2" t="inlineStr">
        <is>
          <t>PİZZA KUTUSU 33 X 33  PK/90 AD</t>
        </is>
      </c>
      <c r="C2" s="7" t="n">
        <v>46302</v>
      </c>
      <c r="D2" t="inlineStr">
        <is>
          <t>A00000000262235</t>
        </is>
      </c>
      <c r="E2" s="8" t="n">
        <v>5</v>
      </c>
      <c r="F2" t="inlineStr">
        <is>
          <t>PK</t>
        </is>
      </c>
      <c r="G2" s="9" t="n">
        <v>1021</v>
      </c>
      <c r="H2" s="9" t="n">
        <v>1042.72</v>
      </c>
      <c r="I2" s="7" t="n">
        <v>46267</v>
      </c>
      <c r="J2" t="inlineStr">
        <is>
          <t>A00000000259302</t>
        </is>
      </c>
      <c r="K2" t="n">
        <v>49</v>
      </c>
      <c r="L2" s="9">
        <f>H2-G2</f>
        <v/>
      </c>
      <c r="M2" s="12">
        <f>ROUND(E2*L2,2)</f>
        <v/>
      </c>
      <c r="N2" t="inlineStr">
        <is>
          <t>Referans fiyat daha sonra düştüyse veya iskonto/özel fiyat varsa fatura kesmeyin</t>
        </is>
      </c>
    </row>
    <row r="3">
      <c r="A3" t="inlineStr">
        <is>
          <t>AMB037</t>
        </is>
      </c>
      <c r="B3" t="inlineStr">
        <is>
          <t>PİZZA KUTUSU 30 X 30  PK/50 AD</t>
        </is>
      </c>
      <c r="C3" s="7" t="n">
        <v>46233</v>
      </c>
      <c r="D3" t="inlineStr">
        <is>
          <t>C00000000220913</t>
        </is>
      </c>
      <c r="E3" s="8" t="n">
        <v>4</v>
      </c>
      <c r="F3" t="inlineStr">
        <is>
          <t>PK</t>
        </is>
      </c>
      <c r="G3" s="9" t="n">
        <v>396.4264</v>
      </c>
      <c r="H3" s="9" t="n">
        <v>417.3883</v>
      </c>
      <c r="I3" s="7" t="n">
        <v>46231</v>
      </c>
      <c r="J3" t="inlineStr">
        <is>
          <t>A00000000256593</t>
        </is>
      </c>
      <c r="K3" t="n">
        <v>48</v>
      </c>
      <c r="L3" s="9">
        <f>H3-G3</f>
        <v/>
      </c>
      <c r="M3" s="12">
        <f>ROUND(E3*L3,2)</f>
        <v/>
      </c>
      <c r="N3" t="inlineStr">
        <is>
          <t>Referans fiyat daha sonra düştüyse veya iskonto/özel fiyat varsa fatura kesmeyin</t>
        </is>
      </c>
    </row>
    <row r="4">
      <c r="A4" t="inlineStr">
        <is>
          <t>CAG018</t>
        </is>
      </c>
      <c r="B4" t="inlineStr">
        <is>
          <t>NARİN BAGET 12X42 BEYAZ YAĞLI</t>
        </is>
      </c>
      <c r="C4" s="7" t="n">
        <v>46231</v>
      </c>
      <c r="D4" t="inlineStr">
        <is>
          <t>A00000000256596</t>
        </is>
      </c>
      <c r="E4" s="8" t="n">
        <v>5</v>
      </c>
      <c r="F4" t="inlineStr">
        <is>
          <t>KG</t>
        </is>
      </c>
      <c r="G4" s="9" t="n">
        <v>320</v>
      </c>
      <c r="H4" s="9" t="n">
        <v>364.32</v>
      </c>
      <c r="I4" s="7" t="n">
        <v>46224</v>
      </c>
      <c r="J4" t="inlineStr">
        <is>
          <t>A00000000256028</t>
        </is>
      </c>
      <c r="K4" t="n">
        <v>48</v>
      </c>
      <c r="L4" s="9">
        <f>H4-G4</f>
        <v/>
      </c>
      <c r="M4" s="12">
        <f>ROUND(E4*L4,2)</f>
        <v/>
      </c>
      <c r="N4" t="inlineStr">
        <is>
          <t>Referans fiyat daha sonra düştüyse veya iskonto/özel fiyat varsa fatura kesmeyin</t>
        </is>
      </c>
    </row>
    <row r="5">
      <c r="A5" t="inlineStr">
        <is>
          <t>GUS083</t>
        </is>
      </c>
      <c r="B5" t="inlineStr">
        <is>
          <t>GUSSE ŞURUP 0,70LT KARAMEL</t>
        </is>
      </c>
      <c r="C5" s="7" t="n">
        <v>46238</v>
      </c>
      <c r="D5" t="inlineStr">
        <is>
          <t>A00000000257111</t>
        </is>
      </c>
      <c r="E5" s="8" t="n">
        <v>12</v>
      </c>
      <c r="F5" t="inlineStr">
        <is>
          <t>AD</t>
        </is>
      </c>
      <c r="G5" s="9" t="n">
        <v>392.4</v>
      </c>
      <c r="H5" s="9" t="n">
        <v>406</v>
      </c>
      <c r="I5" s="7" t="n">
        <v>46235</v>
      </c>
      <c r="J5" t="inlineStr">
        <is>
          <t>A00000000256933</t>
        </is>
      </c>
      <c r="K5" t="n">
        <v>48</v>
      </c>
      <c r="L5" s="9">
        <f>H5-G5</f>
        <v/>
      </c>
      <c r="M5" s="12">
        <f>ROUND(E5*L5,2)</f>
        <v/>
      </c>
      <c r="N5" t="inlineStr">
        <is>
          <t>Referans fiyat daha sonra düştüyse veya iskonto/özel fiyat varsa fatura kesmeyin</t>
        </is>
      </c>
    </row>
    <row r="6">
      <c r="A6" t="inlineStr">
        <is>
          <t>GUS083</t>
        </is>
      </c>
      <c r="B6" t="inlineStr">
        <is>
          <t>GUSSE ŞURUP 0,70LT KARAMEL</t>
        </is>
      </c>
      <c r="C6" s="7" t="n">
        <v>46244</v>
      </c>
      <c r="D6" t="inlineStr">
        <is>
          <t>A00000000257609</t>
        </is>
      </c>
      <c r="E6" s="8" t="n">
        <v>12</v>
      </c>
      <c r="F6" t="inlineStr">
        <is>
          <t>AD</t>
        </is>
      </c>
      <c r="G6" s="9" t="n">
        <v>365.4</v>
      </c>
      <c r="H6" s="9" t="n">
        <v>406</v>
      </c>
      <c r="I6" s="7" t="n">
        <v>46235</v>
      </c>
      <c r="J6" t="inlineStr">
        <is>
          <t>A00000000256933</t>
        </is>
      </c>
      <c r="K6" t="n">
        <v>48</v>
      </c>
      <c r="L6" s="9">
        <f>H6-G6</f>
        <v/>
      </c>
      <c r="M6" s="12">
        <f>ROUND(E6*L6,2)</f>
        <v/>
      </c>
      <c r="N6" t="inlineStr">
        <is>
          <t>Referans fiyat daha sonra düştüyse veya iskonto/özel fiyat varsa fatura kesmeyin</t>
        </is>
      </c>
    </row>
    <row r="7">
      <c r="A7" t="inlineStr">
        <is>
          <t>GUS083</t>
        </is>
      </c>
      <c r="B7" t="inlineStr">
        <is>
          <t>GUSSE ŞURUP 0,70LT KARAMEL</t>
        </is>
      </c>
      <c r="C7" s="7" t="n">
        <v>46252</v>
      </c>
      <c r="D7" t="inlineStr">
        <is>
          <t>A00000000258131</t>
        </is>
      </c>
      <c r="E7" s="8" t="n">
        <v>12</v>
      </c>
      <c r="F7" t="inlineStr">
        <is>
          <t>AD</t>
        </is>
      </c>
      <c r="G7" s="9" t="n">
        <v>392.4</v>
      </c>
      <c r="H7" s="9" t="n">
        <v>406</v>
      </c>
      <c r="I7" s="7" t="n">
        <v>46235</v>
      </c>
      <c r="J7" t="inlineStr">
        <is>
          <t>A00000000256933</t>
        </is>
      </c>
      <c r="K7" t="n">
        <v>48</v>
      </c>
      <c r="L7" s="9">
        <f>H7-G7</f>
        <v/>
      </c>
      <c r="M7" s="12">
        <f>ROUND(E7*L7,2)</f>
        <v/>
      </c>
      <c r="N7" t="inlineStr">
        <is>
          <t>Referans fiyat daha sonra düştüyse veya iskonto/özel fiyat varsa fatura kesmeyin</t>
        </is>
      </c>
    </row>
    <row r="8">
      <c r="A8" t="inlineStr">
        <is>
          <t>GUS087</t>
        </is>
      </c>
      <c r="B8" t="inlineStr">
        <is>
          <t>GUSSE ŞURUP 0,70LT VANİLYA</t>
        </is>
      </c>
      <c r="C8" s="7" t="n">
        <v>46238</v>
      </c>
      <c r="D8" t="inlineStr">
        <is>
          <t>A00000000257111</t>
        </is>
      </c>
      <c r="E8" s="8" t="n">
        <v>6</v>
      </c>
      <c r="F8" t="inlineStr">
        <is>
          <t>AD</t>
        </is>
      </c>
      <c r="G8" s="9" t="n">
        <v>392.4</v>
      </c>
      <c r="H8" s="9" t="n">
        <v>406</v>
      </c>
      <c r="I8" s="7" t="n">
        <v>46235</v>
      </c>
      <c r="J8" t="inlineStr">
        <is>
          <t>A00000000256933</t>
        </is>
      </c>
      <c r="K8" t="n">
        <v>48</v>
      </c>
      <c r="L8" s="9">
        <f>H8-G8</f>
        <v/>
      </c>
      <c r="M8" s="12">
        <f>ROUND(E8*L8,2)</f>
        <v/>
      </c>
      <c r="N8" t="inlineStr">
        <is>
          <t>Referans fiyat daha sonra düştüyse veya iskonto/özel fiyat varsa fatura kesmeyin</t>
        </is>
      </c>
    </row>
    <row r="9">
      <c r="A9" t="inlineStr">
        <is>
          <t>GUS087</t>
        </is>
      </c>
      <c r="B9" t="inlineStr">
        <is>
          <t>GUSSE ŞURUP 0,70LT VANİLYA</t>
        </is>
      </c>
      <c r="C9" s="7" t="n">
        <v>46252</v>
      </c>
      <c r="D9" t="inlineStr">
        <is>
          <t>A00000000258131</t>
        </is>
      </c>
      <c r="E9" s="8" t="n">
        <v>12</v>
      </c>
      <c r="F9" t="inlineStr">
        <is>
          <t>AD</t>
        </is>
      </c>
      <c r="G9" s="9" t="n">
        <v>392.4</v>
      </c>
      <c r="H9" s="9" t="n">
        <v>406</v>
      </c>
      <c r="I9" s="7" t="n">
        <v>46235</v>
      </c>
      <c r="J9" t="inlineStr">
        <is>
          <t>A00000000256933</t>
        </is>
      </c>
      <c r="K9" t="n">
        <v>48</v>
      </c>
      <c r="L9" s="9">
        <f>H9-G9</f>
        <v/>
      </c>
      <c r="M9" s="12">
        <f>ROUND(E9*L9,2)</f>
        <v/>
      </c>
      <c r="N9" t="inlineStr">
        <is>
          <t>Referans fiyat daha sonra düştüyse veya iskonto/özel fiyat varsa fatura kesmeyin</t>
        </is>
      </c>
    </row>
    <row r="10">
      <c r="A10" t="inlineStr">
        <is>
          <t>PCK1113</t>
        </is>
      </c>
      <c r="B10" t="inlineStr">
        <is>
          <t>ÇİZGİLİ ŞAMUA 40 X 60</t>
        </is>
      </c>
      <c r="C10" s="7" t="n">
        <v>46294</v>
      </c>
      <c r="D10" t="inlineStr">
        <is>
          <t>A00000000261567</t>
        </is>
      </c>
      <c r="E10" s="8" t="n">
        <v>10</v>
      </c>
      <c r="F10" t="inlineStr">
        <is>
          <t>KG</t>
        </is>
      </c>
      <c r="G10" s="9" t="n">
        <v>220</v>
      </c>
      <c r="H10" s="9" t="n">
        <v>230</v>
      </c>
      <c r="I10" s="7" t="n">
        <v>46267</v>
      </c>
      <c r="J10" t="inlineStr">
        <is>
          <t>A00000000259302</t>
        </is>
      </c>
      <c r="K10" t="n">
        <v>49</v>
      </c>
      <c r="L10" s="9">
        <f>H10-G10</f>
        <v/>
      </c>
      <c r="M10" s="12">
        <f>ROUND(E10*L10,2)</f>
        <v/>
      </c>
      <c r="N10" t="inlineStr">
        <is>
          <t>Referans fiyat daha sonra düştüyse veya iskonto/özel fiyat varsa fatura kesmeyin</t>
        </is>
      </c>
    </row>
    <row r="11">
      <c r="A11" t="inlineStr">
        <is>
          <t>PCK1113</t>
        </is>
      </c>
      <c r="B11" t="inlineStr">
        <is>
          <t>ÇİZGİLİ ŞAMUA 40 X 60</t>
        </is>
      </c>
      <c r="C11" s="7" t="n">
        <v>46302</v>
      </c>
      <c r="D11" t="inlineStr">
        <is>
          <t>A00000000262235</t>
        </is>
      </c>
      <c r="E11" s="8" t="n">
        <v>10</v>
      </c>
      <c r="F11" t="inlineStr">
        <is>
          <t>KG</t>
        </is>
      </c>
      <c r="G11" s="9" t="n">
        <v>220</v>
      </c>
      <c r="H11" s="9" t="n">
        <v>230</v>
      </c>
      <c r="I11" s="7" t="n">
        <v>46267</v>
      </c>
      <c r="J11" t="inlineStr">
        <is>
          <t>A00000000259302</t>
        </is>
      </c>
      <c r="K11" t="n">
        <v>49</v>
      </c>
      <c r="L11" s="9">
        <f>H11-G11</f>
        <v/>
      </c>
      <c r="M11" s="12">
        <f>ROUND(E11*L11,2)</f>
        <v/>
      </c>
      <c r="N11" t="inlineStr">
        <is>
          <t>Referans fiyat daha sonra düştüyse veya iskonto/özel fiyat varsa fatura kesmeyin</t>
        </is>
      </c>
    </row>
    <row r="12">
      <c r="A12" t="inlineStr">
        <is>
          <t>PL001</t>
        </is>
      </c>
      <c r="B12" t="inlineStr">
        <is>
          <t>300 ML ŞEFFAF KARE PET ŞİŞE 19,5GR+KAPAK PK/50AD</t>
        </is>
      </c>
      <c r="C12" s="7" t="n">
        <v>46245</v>
      </c>
      <c r="D12" t="inlineStr">
        <is>
          <t>A00000000257722</t>
        </is>
      </c>
      <c r="E12" s="8" t="n">
        <v>500</v>
      </c>
      <c r="F12" t="inlineStr">
        <is>
          <t>AD</t>
        </is>
      </c>
      <c r="G12" s="9" t="n">
        <v>14</v>
      </c>
      <c r="H12" s="9" t="n">
        <v>14.88</v>
      </c>
      <c r="I12" s="7" t="n">
        <v>46218</v>
      </c>
      <c r="J12" t="inlineStr">
        <is>
          <t>A00000000255479</t>
        </is>
      </c>
      <c r="K12" t="n">
        <v>48</v>
      </c>
      <c r="L12" s="9">
        <f>H12-G12</f>
        <v/>
      </c>
      <c r="M12" s="12">
        <f>ROUND(E12*L12,2)</f>
        <v/>
      </c>
      <c r="N12" t="inlineStr">
        <is>
          <t>Referans fiyat daha sonra düştüyse veya iskonto/özel fiyat varsa fatura kesmeyin</t>
        </is>
      </c>
    </row>
    <row r="13">
      <c r="A13" t="inlineStr">
        <is>
          <t>RBK006</t>
        </is>
      </c>
      <c r="B13" t="inlineStr">
        <is>
          <t>KRİSTAL KARE KASE 300ML SB.D11 PK/12 KL/288 AD</t>
        </is>
      </c>
      <c r="C13" s="7" t="n">
        <v>46252</v>
      </c>
      <c r="D13" t="inlineStr">
        <is>
          <t>A00000000258193</t>
        </is>
      </c>
      <c r="E13" s="8" t="n">
        <v>576</v>
      </c>
      <c r="F13" t="inlineStr">
        <is>
          <t>AD</t>
        </is>
      </c>
      <c r="G13" s="9" t="n">
        <v>10.56</v>
      </c>
      <c r="H13" s="9" t="n">
        <v>11.04</v>
      </c>
      <c r="I13" s="7" t="n">
        <v>46218</v>
      </c>
      <c r="J13" t="inlineStr">
        <is>
          <t>A00000000255479</t>
        </is>
      </c>
      <c r="K13" t="n">
        <v>48</v>
      </c>
      <c r="L13" s="9">
        <f>H13-G13</f>
        <v/>
      </c>
      <c r="M13" s="12">
        <f>ROUND(E13*L13,2)</f>
        <v/>
      </c>
      <c r="N13" t="inlineStr">
        <is>
          <t>Referans fiyat daha sonra düştüyse veya iskonto/özel fiyat varsa fatura kesmeyin</t>
        </is>
      </c>
    </row>
    <row r="14">
      <c r="A14" t="inlineStr">
        <is>
          <t>RBK006</t>
        </is>
      </c>
      <c r="B14" t="inlineStr">
        <is>
          <t>KRİSTAL KARE KASE 300ML SB.D11 PK/12 KL/288 AD</t>
        </is>
      </c>
      <c r="C14" s="7" t="n">
        <v>46258</v>
      </c>
      <c r="D14" t="inlineStr">
        <is>
          <t>A00000000258719</t>
        </is>
      </c>
      <c r="E14" s="8" t="n">
        <v>576</v>
      </c>
      <c r="F14" t="inlineStr">
        <is>
          <t>AD</t>
        </is>
      </c>
      <c r="G14" s="9" t="n">
        <v>10.56</v>
      </c>
      <c r="H14" s="9" t="n">
        <v>11.04</v>
      </c>
      <c r="I14" s="7" t="n">
        <v>46218</v>
      </c>
      <c r="J14" t="inlineStr">
        <is>
          <t>A00000000255479</t>
        </is>
      </c>
      <c r="K14" t="n">
        <v>48</v>
      </c>
      <c r="L14" s="9">
        <f>H14-G14</f>
        <v/>
      </c>
      <c r="M14" s="12">
        <f>ROUND(E14*L14,2)</f>
        <v/>
      </c>
      <c r="N14" t="inlineStr">
        <is>
          <t>Referans fiyat daha sonra düştüyse veya iskonto/özel fiyat varsa fatura kesmeyin</t>
        </is>
      </c>
    </row>
    <row r="15">
      <c r="A15" t="inlineStr">
        <is>
          <t>RBK007</t>
        </is>
      </c>
      <c r="B15" t="inlineStr">
        <is>
          <t>KARE KASE BOMBE KAPAK LD.D11 PK/48AD KL/12PK</t>
        </is>
      </c>
      <c r="C15" s="7" t="n">
        <v>46252</v>
      </c>
      <c r="D15" t="inlineStr">
        <is>
          <t>A00000000258193</t>
        </is>
      </c>
      <c r="E15" s="8" t="n">
        <v>576</v>
      </c>
      <c r="F15" t="inlineStr">
        <is>
          <t>AD</t>
        </is>
      </c>
      <c r="G15" s="9" t="n">
        <v>4.32</v>
      </c>
      <c r="H15" s="9" t="n">
        <v>4.416</v>
      </c>
      <c r="I15" s="7" t="n">
        <v>46218</v>
      </c>
      <c r="J15" t="inlineStr">
        <is>
          <t>A00000000255479</t>
        </is>
      </c>
      <c r="K15" t="n">
        <v>48</v>
      </c>
      <c r="L15" s="9">
        <f>H15-G15</f>
        <v/>
      </c>
      <c r="M15" s="12">
        <f>ROUND(E15*L15,2)</f>
        <v/>
      </c>
      <c r="N15" t="inlineStr">
        <is>
          <t>Referans fiyat daha sonra düştüyse veya iskonto/özel fiyat varsa fatura kesmeyin</t>
        </is>
      </c>
    </row>
    <row r="16">
      <c r="A16" t="inlineStr">
        <is>
          <t>RBK007</t>
        </is>
      </c>
      <c r="B16" t="inlineStr">
        <is>
          <t>KARE KASE BOMBE KAPAK LD.D11 PK/48AD KL/12PK</t>
        </is>
      </c>
      <c r="C16" s="7" t="n">
        <v>46258</v>
      </c>
      <c r="D16" t="inlineStr">
        <is>
          <t>A00000000258719</t>
        </is>
      </c>
      <c r="E16" s="8" t="n">
        <v>576</v>
      </c>
      <c r="F16" t="inlineStr">
        <is>
          <t>AD</t>
        </is>
      </c>
      <c r="G16" s="9" t="n">
        <v>4.32</v>
      </c>
      <c r="H16" s="9" t="n">
        <v>4.416</v>
      </c>
      <c r="I16" s="7" t="n">
        <v>46218</v>
      </c>
      <c r="J16" t="inlineStr">
        <is>
          <t>A00000000255479</t>
        </is>
      </c>
      <c r="K16" t="n">
        <v>48</v>
      </c>
      <c r="L16" s="9">
        <f>H16-G16</f>
        <v/>
      </c>
      <c r="M16" s="12">
        <f>ROUND(E16*L16,2)</f>
        <v/>
      </c>
      <c r="N16" t="inlineStr">
        <is>
          <t>Referans fiyat daha sonra düştüyse veya iskonto/özel fiyat varsa fatura kesmeyin</t>
        </is>
      </c>
    </row>
    <row r="17">
      <c r="A17" t="inlineStr">
        <is>
          <t>SYM001</t>
        </is>
      </c>
      <c r="B17" t="inlineStr">
        <is>
          <t>PE ELDİVEN ŞEFFAF L PK/100 AD DR PACK KL/100 PKT</t>
        </is>
      </c>
      <c r="C17" s="7" t="n">
        <v>46302</v>
      </c>
      <c r="D17" t="inlineStr">
        <is>
          <t>A00000000262235</t>
        </is>
      </c>
      <c r="E17" s="8" t="n">
        <v>100</v>
      </c>
      <c r="F17" t="inlineStr">
        <is>
          <t>PK</t>
        </is>
      </c>
      <c r="G17" s="9" t="n">
        <v>35</v>
      </c>
      <c r="H17" s="9" t="n">
        <v>38.1107</v>
      </c>
      <c r="I17" s="7" t="n">
        <v>46274</v>
      </c>
      <c r="J17" t="inlineStr">
        <is>
          <t>A00000000259852</t>
        </is>
      </c>
      <c r="K17" t="n">
        <v>49</v>
      </c>
      <c r="L17" s="9">
        <f>H17-G17</f>
        <v/>
      </c>
      <c r="M17" s="12">
        <f>ROUND(E17*L17,2)</f>
        <v/>
      </c>
      <c r="N17" t="inlineStr">
        <is>
          <t>Referans fiyat daha sonra düştüyse veya iskonto/özel fiyat varsa fatura kesmeyin</t>
        </is>
      </c>
    </row>
    <row r="19">
      <c r="L19" s="4" t="inlineStr">
        <is>
          <t>TOPLAM</t>
        </is>
      </c>
      <c r="M19" s="14">
        <f>SUM(M2:M17)</f>
        <v/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44" customWidth="1" min="4" max="4"/>
    <col width="10" customWidth="1" min="5" max="5"/>
    <col width="11" customWidth="1" min="6" max="6"/>
    <col width="11" customWidth="1" min="7" max="7"/>
    <col width="11" customWidth="1" min="8" max="8"/>
    <col width="13" customWidth="1" min="9" max="9"/>
    <col width="10" customWidth="1" min="10" max="10"/>
    <col width="20" customWidth="1" min="11" max="11"/>
    <col width="22" customWidth="1" min="12" max="12"/>
  </cols>
  <sheetData>
    <row r="1" ht="42" customHeight="1">
      <c r="A1" s="6" t="inlineStr">
        <is>
          <t>Fatura Tarihi</t>
        </is>
      </c>
      <c r="B1" s="6" t="inlineStr">
        <is>
          <t>Fatura No</t>
        </is>
      </c>
      <c r="C1" s="6" t="inlineStr">
        <is>
          <t>Stok Kodu</t>
        </is>
      </c>
      <c r="D1" s="6" t="inlineStr">
        <is>
          <t>Stok Adı</t>
        </is>
      </c>
      <c r="E1" s="6" t="inlineStr">
        <is>
          <t>Miktar</t>
        </is>
      </c>
      <c r="F1" s="6" t="inlineStr">
        <is>
          <t>Brüt Fiyat</t>
        </is>
      </c>
      <c r="G1" s="6" t="inlineStr">
        <is>
          <t>Net Fiyat</t>
        </is>
      </c>
      <c r="H1" s="6" t="inlineStr">
        <is>
          <t>Döviz Fiyat (USD)</t>
        </is>
      </c>
      <c r="I1" s="6" t="inlineStr">
        <is>
          <t>Uygulanan Kur (Brüt/USD)</t>
        </is>
      </c>
      <c r="J1" s="6" t="inlineStr">
        <is>
          <t>Dönem Kuru</t>
        </is>
      </c>
      <c r="K1" s="6" t="inlineStr">
        <is>
          <t>Fark (TL/birim) = (Dönem Kuru - Uyg. Kur) x USD</t>
        </is>
      </c>
      <c r="L1" s="6" t="inlineStr">
        <is>
          <t>Toplam Fark (TL, +fatura az kesilmiş / -fazla kesilmiş)</t>
        </is>
      </c>
    </row>
    <row r="2">
      <c r="A2" s="7" t="n">
        <v>46204</v>
      </c>
      <c r="B2" t="inlineStr">
        <is>
          <t>A00000000254474</t>
        </is>
      </c>
      <c r="C2" t="inlineStr">
        <is>
          <t>ZV002</t>
        </is>
      </c>
      <c r="D2" t="inlineStr">
        <is>
          <t>PİŞİRME KAĞIDI  40 X 60 (ZV) PK/5 KG</t>
        </is>
      </c>
      <c r="E2" s="8" t="n">
        <v>60</v>
      </c>
      <c r="F2" s="9" t="n">
        <v>434.7</v>
      </c>
      <c r="G2" s="9" t="n">
        <v>434.7</v>
      </c>
      <c r="H2" s="9" t="n">
        <v>8.050000000000001</v>
      </c>
      <c r="I2" s="15">
        <f>F2/H2</f>
        <v/>
      </c>
      <c r="J2" s="15" t="n">
        <v>47</v>
      </c>
      <c r="K2" s="9">
        <f>(J2-I2)*H2</f>
        <v/>
      </c>
      <c r="L2" s="12">
        <f>ROUND(E2*K2,2)</f>
        <v/>
      </c>
    </row>
    <row r="3">
      <c r="A3" s="7" t="n">
        <v>46263</v>
      </c>
      <c r="B3" t="inlineStr">
        <is>
          <t>A00000000259129</t>
        </is>
      </c>
      <c r="C3" t="inlineStr">
        <is>
          <t>BBT285</t>
        </is>
      </c>
      <c r="D3" t="inlineStr">
        <is>
          <t>AMARO 100CC KARTON DONDURMA KABI  KL/100PK</t>
        </is>
      </c>
      <c r="E3" s="8" t="n">
        <v>20000</v>
      </c>
      <c r="F3" s="9" t="n">
        <v>5.115</v>
      </c>
      <c r="G3" s="9" t="n">
        <v>5.115</v>
      </c>
      <c r="H3" s="9" t="n">
        <v>0.093</v>
      </c>
      <c r="I3" s="15">
        <f>F3/H3</f>
        <v/>
      </c>
      <c r="J3" s="15" t="n">
        <v>48</v>
      </c>
      <c r="K3" s="9">
        <f>(J3-I3)*H3</f>
        <v/>
      </c>
      <c r="L3" s="12">
        <f>ROUND(E3*K3,2)</f>
        <v/>
      </c>
    </row>
  </sheetData>
  <autoFilter ref="A1:L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7" customWidth="1" min="3" max="3"/>
    <col width="9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9" customWidth="1" min="10" max="10"/>
    <col width="13" customWidth="1" min="11" max="11"/>
    <col width="38" customWidth="1" min="12" max="12"/>
    <col width="10" customWidth="1" min="13" max="13"/>
    <col width="11" customWidth="1" min="14" max="14"/>
  </cols>
  <sheetData>
    <row r="1" ht="42" customHeight="1">
      <c r="A1" s="6" t="inlineStr">
        <is>
          <t>Stok Kodu</t>
        </is>
      </c>
      <c r="B1" s="6" t="inlineStr">
        <is>
          <t>Stok Adı</t>
        </is>
      </c>
      <c r="C1" s="6" t="inlineStr">
        <is>
          <t>Birim</t>
        </is>
      </c>
      <c r="D1" s="6" t="inlineStr">
        <is>
          <t>Fatura Satır Sayısı</t>
        </is>
      </c>
      <c r="E1" s="6" t="inlineStr">
        <is>
          <t>İlk Fatura Tarihi</t>
        </is>
      </c>
      <c r="F1" s="6" t="inlineStr">
        <is>
          <t>İlk Net Fiyat</t>
        </is>
      </c>
      <c r="G1" s="6" t="inlineStr">
        <is>
          <t>Son Fatura Tarihi</t>
        </is>
      </c>
      <c r="H1" s="6" t="inlineStr">
        <is>
          <t>Son Fatura No</t>
        </is>
      </c>
      <c r="I1" s="6" t="inlineStr">
        <is>
          <t>Son Net Fiyat</t>
        </is>
      </c>
      <c r="J1" s="6" t="inlineStr">
        <is>
          <t>Fiyat Değişim Sayısı</t>
        </is>
      </c>
      <c r="K1" s="6" t="inlineStr">
        <is>
          <t>Son Fiyat Değişim Tarihi</t>
        </is>
      </c>
      <c r="L1" s="6" t="inlineStr">
        <is>
          <t>Son Değişim Nedeni</t>
        </is>
      </c>
      <c r="M1" s="6" t="inlineStr">
        <is>
          <t>Son USD Fiyat</t>
        </is>
      </c>
      <c r="N1" s="16" t="inlineStr">
        <is>
          <t>Toplam Değişim %</t>
        </is>
      </c>
    </row>
    <row r="2">
      <c r="A2" t="inlineStr">
        <is>
          <t>AL0036</t>
        </is>
      </c>
      <c r="B2" t="inlineStr">
        <is>
          <t>NARİN SAVORY 23X25 KESE KAĞIDI</t>
        </is>
      </c>
      <c r="C2" t="inlineStr">
        <is>
          <t>KG</t>
        </is>
      </c>
      <c r="D2" t="n">
        <v>15</v>
      </c>
      <c r="E2" s="7" t="n">
        <v>46204</v>
      </c>
      <c r="F2" s="9" t="n">
        <v>320</v>
      </c>
      <c r="G2" s="7" t="n">
        <v>46308</v>
      </c>
      <c r="H2" t="inlineStr">
        <is>
          <t>A00000000262812</t>
        </is>
      </c>
      <c r="I2" s="9" t="n">
        <v>320</v>
      </c>
      <c r="J2" t="n">
        <v>0</v>
      </c>
      <c r="K2" s="7" t="n"/>
      <c r="L2" t="inlineStr">
        <is>
          <t>-</t>
        </is>
      </c>
      <c r="M2" s="9" t="n"/>
      <c r="N2" s="10">
        <f>I2/F2-1</f>
        <v/>
      </c>
    </row>
    <row r="3">
      <c r="A3" t="inlineStr">
        <is>
          <t>AL0037</t>
        </is>
      </c>
      <c r="B3" t="inlineStr">
        <is>
          <t>NARİN CROISSANT 23X32 KESE KAĞIDI</t>
        </is>
      </c>
      <c r="C3" t="inlineStr">
        <is>
          <t>KG</t>
        </is>
      </c>
      <c r="D3" t="n">
        <v>18</v>
      </c>
      <c r="E3" s="7" t="n">
        <v>46204</v>
      </c>
      <c r="F3" s="9" t="n">
        <v>320</v>
      </c>
      <c r="G3" s="7" t="n">
        <v>46315</v>
      </c>
      <c r="H3" t="inlineStr">
        <is>
          <t>A00000000263385</t>
        </is>
      </c>
      <c r="I3" s="9" t="n">
        <v>320</v>
      </c>
      <c r="J3" t="n">
        <v>0</v>
      </c>
      <c r="K3" s="7" t="n"/>
      <c r="L3" t="inlineStr">
        <is>
          <t>-</t>
        </is>
      </c>
      <c r="M3" s="9" t="n"/>
      <c r="N3" s="10">
        <f>I3/F3-1</f>
        <v/>
      </c>
    </row>
    <row r="4">
      <c r="A4" t="inlineStr">
        <is>
          <t>ALT001</t>
        </is>
      </c>
      <c r="B4" t="inlineStr">
        <is>
          <t>KRAFT PENC.ÜÇGEN SANDVİÇ  55MM PK/100 KL/5PK</t>
        </is>
      </c>
      <c r="C4" t="inlineStr">
        <is>
          <t>AD</t>
        </is>
      </c>
      <c r="D4" t="n">
        <v>5</v>
      </c>
      <c r="E4" s="7" t="n">
        <v>46210</v>
      </c>
      <c r="F4" s="9" t="n">
        <v>7.99</v>
      </c>
      <c r="G4" s="7" t="n">
        <v>46298</v>
      </c>
      <c r="H4" t="inlineStr">
        <is>
          <t>A00000000261905</t>
        </is>
      </c>
      <c r="I4" s="9" t="n">
        <v>8.33</v>
      </c>
      <c r="J4" t="n">
        <v>2</v>
      </c>
      <c r="K4" s="7" t="n">
        <v>46267</v>
      </c>
      <c r="L4" t="inlineStr">
        <is>
          <t>KDV dahil/hariç belge farkı - kontrol et</t>
        </is>
      </c>
      <c r="M4" s="9" t="n">
        <v>0.17</v>
      </c>
      <c r="N4" s="10">
        <f>I4/F4-1</f>
        <v/>
      </c>
    </row>
    <row r="5">
      <c r="A5" t="inlineStr">
        <is>
          <t>AMB004</t>
        </is>
      </c>
      <c r="B5" t="inlineStr">
        <is>
          <t>PİZZA KUTUSU 33 X 33  PK/90 AD</t>
        </is>
      </c>
      <c r="C5" t="inlineStr">
        <is>
          <t>PK</t>
        </is>
      </c>
      <c r="D5" t="n">
        <v>4</v>
      </c>
      <c r="E5" s="7" t="n">
        <v>46253</v>
      </c>
      <c r="F5" s="9" t="n">
        <v>1021.44</v>
      </c>
      <c r="G5" s="7" t="n">
        <v>46302</v>
      </c>
      <c r="H5" t="inlineStr">
        <is>
          <t>A00000000262235</t>
        </is>
      </c>
      <c r="I5" s="9" t="n">
        <v>1021</v>
      </c>
      <c r="J5" t="n">
        <v>2</v>
      </c>
      <c r="K5" s="7" t="n">
        <v>46302</v>
      </c>
      <c r="L5" t="inlineStr">
        <is>
          <t>Döviz (USD) liste fiyatı değişti</t>
        </is>
      </c>
      <c r="M5" s="9" t="n">
        <v>20.83673</v>
      </c>
      <c r="N5" s="10">
        <f>I5/F5-1</f>
        <v/>
      </c>
    </row>
    <row r="6">
      <c r="A6" t="inlineStr">
        <is>
          <t>AMB018</t>
        </is>
      </c>
      <c r="B6" t="inlineStr">
        <is>
          <t>PİZZA KUTUSU KRAFT BASKISIZ 33 X 33 PK/100AD</t>
        </is>
      </c>
      <c r="C6" t="inlineStr">
        <is>
          <t>PK</t>
        </is>
      </c>
      <c r="D6" t="n">
        <v>3</v>
      </c>
      <c r="E6" s="7" t="n">
        <v>46207</v>
      </c>
      <c r="F6" s="9" t="n">
        <v>1238.0952</v>
      </c>
      <c r="G6" s="7" t="n">
        <v>46228</v>
      </c>
      <c r="H6" t="inlineStr">
        <is>
          <t>C00000000220907</t>
        </is>
      </c>
      <c r="I6" s="9" t="n">
        <v>1285.7143</v>
      </c>
      <c r="J6" t="n">
        <v>1</v>
      </c>
      <c r="K6" s="7" t="n">
        <v>46228</v>
      </c>
      <c r="L6" t="inlineStr">
        <is>
          <t>Kur 47→48 + döviz fiyatı değişti</t>
        </is>
      </c>
      <c r="M6" s="9" t="n">
        <v>28.125</v>
      </c>
      <c r="N6" s="10">
        <f>I6/F6-1</f>
        <v/>
      </c>
    </row>
    <row r="7">
      <c r="A7" t="inlineStr">
        <is>
          <t>AMB037</t>
        </is>
      </c>
      <c r="B7" t="inlineStr">
        <is>
          <t>PİZZA KUTUSU 30 X 30  PK/50 AD</t>
        </is>
      </c>
      <c r="C7" t="inlineStr">
        <is>
          <t>PK</t>
        </is>
      </c>
      <c r="D7" t="n">
        <v>4</v>
      </c>
      <c r="E7" s="7" t="n">
        <v>46207</v>
      </c>
      <c r="F7" s="9" t="n">
        <v>428.5714</v>
      </c>
      <c r="G7" s="7" t="n">
        <v>46233</v>
      </c>
      <c r="H7" t="inlineStr">
        <is>
          <t>C00000000220913</t>
        </is>
      </c>
      <c r="I7" s="9" t="n">
        <v>396.4264</v>
      </c>
      <c r="J7" t="n">
        <v>2</v>
      </c>
      <c r="K7" s="7" t="n">
        <v>46233</v>
      </c>
      <c r="L7" t="inlineStr">
        <is>
          <t>KDV dahil/hariç belge farkı - kontrol et</t>
        </is>
      </c>
      <c r="M7" s="9" t="n">
        <v>9.375</v>
      </c>
      <c r="N7" s="10">
        <f>I7/F7-1</f>
        <v/>
      </c>
    </row>
    <row r="8">
      <c r="A8" t="inlineStr">
        <is>
          <t>ARS025</t>
        </is>
      </c>
      <c r="B8" t="inlineStr">
        <is>
          <t>KAVANOZ CAM 300 ML + KAPAK KL/100</t>
        </is>
      </c>
      <c r="C8" t="inlineStr">
        <is>
          <t>AD</t>
        </is>
      </c>
      <c r="D8" t="n">
        <v>1</v>
      </c>
      <c r="E8" s="7" t="n">
        <v>46204</v>
      </c>
      <c r="F8" s="9" t="n">
        <v>13.5125</v>
      </c>
      <c r="G8" s="7" t="n">
        <v>46204</v>
      </c>
      <c r="H8" t="inlineStr">
        <is>
          <t>A00000000254474</t>
        </is>
      </c>
      <c r="I8" s="9" t="n">
        <v>13.5125</v>
      </c>
      <c r="J8" t="n">
        <v>0</v>
      </c>
      <c r="K8" s="7" t="n"/>
      <c r="L8" t="inlineStr">
        <is>
          <t>-</t>
        </is>
      </c>
      <c r="M8" s="9" t="n">
        <v>0.2875</v>
      </c>
      <c r="N8" s="10">
        <f>I8/F8-1</f>
        <v/>
      </c>
    </row>
    <row r="9">
      <c r="A9" t="inlineStr">
        <is>
          <t>ARS027</t>
        </is>
      </c>
      <c r="B9" t="inlineStr">
        <is>
          <t>KAVANOZ CAM 300 CC KL/100 AD + KAPAK</t>
        </is>
      </c>
      <c r="C9" t="inlineStr">
        <is>
          <t>AD</t>
        </is>
      </c>
      <c r="D9" t="n">
        <v>1</v>
      </c>
      <c r="E9" s="7" t="n">
        <v>46252</v>
      </c>
      <c r="F9" s="9" t="n">
        <v>13.92</v>
      </c>
      <c r="G9" s="7" t="n">
        <v>46252</v>
      </c>
      <c r="H9" t="inlineStr">
        <is>
          <t>A00000000258193</t>
        </is>
      </c>
      <c r="I9" s="9" t="n">
        <v>13.92</v>
      </c>
      <c r="J9" t="n">
        <v>0</v>
      </c>
      <c r="K9" s="7" t="n"/>
      <c r="L9" t="inlineStr">
        <is>
          <t>-</t>
        </is>
      </c>
      <c r="M9" s="9" t="n">
        <v>0.29</v>
      </c>
      <c r="N9" s="10">
        <f>I9/F9-1</f>
        <v/>
      </c>
    </row>
    <row r="10">
      <c r="A10" t="inlineStr">
        <is>
          <t>BBT285</t>
        </is>
      </c>
      <c r="B10" t="inlineStr">
        <is>
          <t>AMARO 100CC KARTON DONDURMA KABI  KL/100PK</t>
        </is>
      </c>
      <c r="C10" t="inlineStr">
        <is>
          <t>AD</t>
        </is>
      </c>
      <c r="D10" t="n">
        <v>1</v>
      </c>
      <c r="E10" s="7" t="n">
        <v>46263</v>
      </c>
      <c r="F10" s="9" t="n">
        <v>5.115</v>
      </c>
      <c r="G10" s="7" t="n">
        <v>46263</v>
      </c>
      <c r="H10" t="inlineStr">
        <is>
          <t>A00000000259129</t>
        </is>
      </c>
      <c r="I10" s="9" t="n">
        <v>5.115</v>
      </c>
      <c r="J10" t="n">
        <v>0</v>
      </c>
      <c r="K10" s="7" t="n"/>
      <c r="L10" t="inlineStr">
        <is>
          <t>-</t>
        </is>
      </c>
      <c r="M10" s="9" t="n">
        <v>0.093</v>
      </c>
      <c r="N10" s="10">
        <f>I10/F10-1</f>
        <v/>
      </c>
    </row>
    <row r="11">
      <c r="A11" t="inlineStr">
        <is>
          <t>BN052</t>
        </is>
      </c>
      <c r="B11" t="inlineStr">
        <is>
          <t>MAXİ EKLER BEYAZ KAPSÜL 110X38X25 500/PK</t>
        </is>
      </c>
      <c r="C11" t="inlineStr">
        <is>
          <t>PK</t>
        </is>
      </c>
      <c r="D11" t="n">
        <v>2</v>
      </c>
      <c r="E11" s="7" t="n">
        <v>46218</v>
      </c>
      <c r="F11" s="9" t="n">
        <v>205.3433</v>
      </c>
      <c r="G11" s="7" t="n">
        <v>46302</v>
      </c>
      <c r="H11" t="inlineStr">
        <is>
          <t>A00000000262235</t>
        </is>
      </c>
      <c r="I11" s="9" t="n">
        <v>209.62</v>
      </c>
      <c r="J11" t="n">
        <v>1</v>
      </c>
      <c r="K11" s="7" t="n">
        <v>46302</v>
      </c>
      <c r="L11" t="inlineStr">
        <is>
          <t>Kur dönemi değişti (48→49)</t>
        </is>
      </c>
      <c r="M11" s="9" t="n">
        <v>4.278</v>
      </c>
      <c r="N11" s="10">
        <f>I11/F11-1</f>
        <v/>
      </c>
    </row>
    <row r="12">
      <c r="A12" t="inlineStr">
        <is>
          <t>BN078</t>
        </is>
      </c>
      <c r="B12" t="inlineStr">
        <is>
          <t>BEYAZ KAPSÜL NO:5 50X40 PK/500AD</t>
        </is>
      </c>
      <c r="C12" t="inlineStr">
        <is>
          <t>PK</t>
        </is>
      </c>
      <c r="D12" t="n">
        <v>2</v>
      </c>
      <c r="E12" s="7" t="n">
        <v>46218</v>
      </c>
      <c r="F12" s="9" t="n">
        <v>239.568</v>
      </c>
      <c r="G12" s="7" t="n">
        <v>46273</v>
      </c>
      <c r="H12" t="inlineStr">
        <is>
          <t>A00000000259731</t>
        </is>
      </c>
      <c r="I12" s="9" t="n">
        <v>245</v>
      </c>
      <c r="J12" t="n">
        <v>1</v>
      </c>
      <c r="K12" s="7" t="n">
        <v>46273</v>
      </c>
      <c r="L12" t="inlineStr">
        <is>
          <t>Kur dönemi değişti (48→49)</t>
        </is>
      </c>
      <c r="M12" s="9" t="n">
        <v>5</v>
      </c>
      <c r="N12" s="10">
        <f>I12/F12-1</f>
        <v/>
      </c>
    </row>
    <row r="13">
      <c r="A13" t="inlineStr">
        <is>
          <t>BN093</t>
        </is>
      </c>
      <c r="B13" t="inlineStr">
        <is>
          <t>TULIP KADEMELI 160/50MM BEYAZ PK/150AD KL/20PK</t>
        </is>
      </c>
      <c r="C13" t="inlineStr">
        <is>
          <t>PK</t>
        </is>
      </c>
      <c r="D13" t="n">
        <v>1</v>
      </c>
      <c r="E13" s="7" t="n">
        <v>46308</v>
      </c>
      <c r="F13" s="9" t="n">
        <v>575</v>
      </c>
      <c r="G13" s="7" t="n">
        <v>46308</v>
      </c>
      <c r="H13" t="inlineStr">
        <is>
          <t>A00000000262812</t>
        </is>
      </c>
      <c r="I13" s="9" t="n">
        <v>575</v>
      </c>
      <c r="J13" t="n">
        <v>0</v>
      </c>
      <c r="K13" s="7" t="n"/>
      <c r="L13" t="inlineStr">
        <is>
          <t>-</t>
        </is>
      </c>
      <c r="M13" s="9" t="n">
        <v>11.5</v>
      </c>
      <c r="N13" s="10">
        <f>I13/F13-1</f>
        <v/>
      </c>
    </row>
    <row r="14">
      <c r="A14" t="inlineStr">
        <is>
          <t>BRG010</t>
        </is>
      </c>
      <c r="B14" t="inlineStr">
        <is>
          <t>KC280 MODERNA PS KARE KAP +KAPAK KL/400</t>
        </is>
      </c>
      <c r="C14" t="inlineStr">
        <is>
          <t>AD</t>
        </is>
      </c>
      <c r="D14" t="n">
        <v>5</v>
      </c>
      <c r="E14" s="7" t="n">
        <v>46204</v>
      </c>
      <c r="F14" s="9" t="n">
        <v>16.7555</v>
      </c>
      <c r="G14" s="7" t="n">
        <v>46308</v>
      </c>
      <c r="H14" t="inlineStr">
        <is>
          <t>A00000000262812</t>
        </is>
      </c>
      <c r="I14" s="9" t="n">
        <v>15</v>
      </c>
      <c r="J14" t="n">
        <v>3</v>
      </c>
      <c r="K14" s="7" t="n">
        <v>46308</v>
      </c>
      <c r="L14" t="inlineStr">
        <is>
          <t>Kur dönemi değişti (49→50)</t>
        </is>
      </c>
      <c r="M14" s="9" t="n">
        <v>0.3</v>
      </c>
      <c r="N14" s="10">
        <f>I14/F14-1</f>
        <v/>
      </c>
    </row>
    <row r="15">
      <c r="A15" t="inlineStr">
        <is>
          <t>BRN004</t>
        </is>
      </c>
      <c r="B15" t="inlineStr">
        <is>
          <t>CİPS BARDAK KARTON 8 OZ KL/1000AD</t>
        </is>
      </c>
      <c r="C15" t="inlineStr">
        <is>
          <t>AD</t>
        </is>
      </c>
      <c r="D15" t="n">
        <v>1</v>
      </c>
      <c r="E15" s="7" t="n">
        <v>46290</v>
      </c>
      <c r="F15" s="9" t="n">
        <v>6.4952</v>
      </c>
      <c r="G15" s="7" t="n">
        <v>46290</v>
      </c>
      <c r="H15" t="inlineStr">
        <is>
          <t>M00000000260194</t>
        </is>
      </c>
      <c r="I15" s="9" t="n">
        <v>6.4952</v>
      </c>
      <c r="J15" t="n">
        <v>0</v>
      </c>
      <c r="K15" s="7" t="n"/>
      <c r="L15" t="inlineStr">
        <is>
          <t>-</t>
        </is>
      </c>
      <c r="M15" s="9" t="n">
        <v>0.13918</v>
      </c>
      <c r="N15" s="10">
        <f>I15/F15-1</f>
        <v/>
      </c>
    </row>
    <row r="16">
      <c r="A16" t="inlineStr">
        <is>
          <t>CAG018</t>
        </is>
      </c>
      <c r="B16" t="inlineStr">
        <is>
          <t>NARİN BAGET 12X42 BEYAZ YAĞLI</t>
        </is>
      </c>
      <c r="C16" t="inlineStr">
        <is>
          <t>KG</t>
        </is>
      </c>
      <c r="D16" t="n">
        <v>3</v>
      </c>
      <c r="E16" s="7" t="n">
        <v>46224</v>
      </c>
      <c r="F16" s="9" t="n">
        <v>364.32</v>
      </c>
      <c r="G16" s="7" t="n">
        <v>46302</v>
      </c>
      <c r="H16" t="inlineStr">
        <is>
          <t>A00000000262300</t>
        </is>
      </c>
      <c r="I16" s="9" t="n">
        <v>371.91</v>
      </c>
      <c r="J16" t="n">
        <v>2</v>
      </c>
      <c r="K16" s="7" t="n">
        <v>46302</v>
      </c>
      <c r="L16" t="inlineStr">
        <is>
          <t>Kur 48→49 + döviz fiyatı değişti</t>
        </is>
      </c>
      <c r="M16" s="9" t="n">
        <v>7.59</v>
      </c>
      <c r="N16" s="10">
        <f>I16/F16-1</f>
        <v/>
      </c>
    </row>
    <row r="17">
      <c r="A17" t="inlineStr">
        <is>
          <t>GUS083</t>
        </is>
      </c>
      <c r="B17" t="inlineStr">
        <is>
          <t>GUSSE ŞURUP 0,70LT KARAMEL</t>
        </is>
      </c>
      <c r="C17" t="inlineStr">
        <is>
          <t>AD</t>
        </is>
      </c>
      <c r="D17" t="n">
        <v>8</v>
      </c>
      <c r="E17" s="7" t="n">
        <v>46235</v>
      </c>
      <c r="F17" s="9" t="n">
        <v>406</v>
      </c>
      <c r="G17" s="7" t="n">
        <v>46308</v>
      </c>
      <c r="H17" t="inlineStr">
        <is>
          <t>A00000000262772</t>
        </is>
      </c>
      <c r="I17" s="9" t="n">
        <v>406</v>
      </c>
      <c r="J17" t="n">
        <v>6</v>
      </c>
      <c r="K17" s="7" t="n">
        <v>46301</v>
      </c>
      <c r="L17" t="inlineStr">
        <is>
          <t>TL sabit fiyat değişti</t>
        </is>
      </c>
      <c r="M17" s="9" t="n"/>
      <c r="N17" s="10">
        <f>I17/F17-1</f>
        <v/>
      </c>
    </row>
    <row r="18">
      <c r="A18" t="inlineStr">
        <is>
          <t>GUS084</t>
        </is>
      </c>
      <c r="B18" t="inlineStr">
        <is>
          <t>GUSSE ŞURUP 0,70LT ÇİKOLATA</t>
        </is>
      </c>
      <c r="C18" t="inlineStr">
        <is>
          <t>AD</t>
        </is>
      </c>
      <c r="D18" t="n">
        <v>1</v>
      </c>
      <c r="E18" s="7" t="n">
        <v>46245</v>
      </c>
      <c r="F18" s="9" t="n">
        <v>406</v>
      </c>
      <c r="G18" s="7" t="n">
        <v>46245</v>
      </c>
      <c r="H18" t="inlineStr">
        <is>
          <t>A00000000257665</t>
        </is>
      </c>
      <c r="I18" s="9" t="n">
        <v>406</v>
      </c>
      <c r="J18" t="n">
        <v>0</v>
      </c>
      <c r="K18" s="7" t="n"/>
      <c r="L18" t="inlineStr">
        <is>
          <t>-</t>
        </is>
      </c>
      <c r="M18" s="9" t="n"/>
      <c r="N18" s="10">
        <f>I18/F18-1</f>
        <v/>
      </c>
    </row>
    <row r="19">
      <c r="A19" t="inlineStr">
        <is>
          <t>GUS087</t>
        </is>
      </c>
      <c r="B19" t="inlineStr">
        <is>
          <t>GUSSE ŞURUP 0,70LT VANİLYA</t>
        </is>
      </c>
      <c r="C19" t="inlineStr">
        <is>
          <t>AD</t>
        </is>
      </c>
      <c r="D19" t="n">
        <v>4</v>
      </c>
      <c r="E19" s="7" t="n">
        <v>46235</v>
      </c>
      <c r="F19" s="9" t="n">
        <v>406</v>
      </c>
      <c r="G19" s="7" t="n">
        <v>46274</v>
      </c>
      <c r="H19" t="inlineStr">
        <is>
          <t>A00000000259846</t>
        </is>
      </c>
      <c r="I19" s="9" t="n">
        <v>365.4</v>
      </c>
      <c r="J19" t="n">
        <v>2</v>
      </c>
      <c r="K19" s="7" t="n">
        <v>46274</v>
      </c>
      <c r="L19" t="inlineStr">
        <is>
          <t>TL sabit fiyat değişti</t>
        </is>
      </c>
      <c r="M19" s="9" t="n"/>
      <c r="N19" s="10">
        <f>I19/F19-1</f>
        <v/>
      </c>
    </row>
    <row r="20">
      <c r="A20" t="inlineStr">
        <is>
          <t>GUS089</t>
        </is>
      </c>
      <c r="B20" t="inlineStr">
        <is>
          <t>GUSSE ŞURUP 0,70LT HİNDİSTAN CEVİZİ</t>
        </is>
      </c>
      <c r="C20" t="inlineStr">
        <is>
          <t>AD</t>
        </is>
      </c>
      <c r="D20" t="n">
        <v>2</v>
      </c>
      <c r="E20" s="7" t="n">
        <v>46235</v>
      </c>
      <c r="F20" s="9" t="n">
        <v>406</v>
      </c>
      <c r="G20" s="7" t="n">
        <v>46245</v>
      </c>
      <c r="H20" t="inlineStr">
        <is>
          <t>A00000000257665</t>
        </is>
      </c>
      <c r="I20" s="9" t="n">
        <v>406</v>
      </c>
      <c r="J20" t="n">
        <v>0</v>
      </c>
      <c r="K20" s="7" t="n"/>
      <c r="L20" t="inlineStr">
        <is>
          <t>-</t>
        </is>
      </c>
      <c r="M20" s="9" t="n"/>
      <c r="N20" s="10">
        <f>I20/F20-1</f>
        <v/>
      </c>
    </row>
    <row r="21">
      <c r="A21" t="inlineStr">
        <is>
          <t>GUS105</t>
        </is>
      </c>
      <c r="B21" t="inlineStr">
        <is>
          <t>GUSSE MEY.PÜRE 1,1LT  ŞEFTALİ</t>
        </is>
      </c>
      <c r="C21" t="inlineStr">
        <is>
          <t>AD</t>
        </is>
      </c>
      <c r="D21" t="n">
        <v>1</v>
      </c>
      <c r="E21" s="7" t="n">
        <v>46253</v>
      </c>
      <c r="F21" s="9" t="n">
        <v>660</v>
      </c>
      <c r="G21" s="7" t="n">
        <v>46253</v>
      </c>
      <c r="H21" t="inlineStr">
        <is>
          <t>A00000000258248</t>
        </is>
      </c>
      <c r="I21" s="9" t="n">
        <v>660</v>
      </c>
      <c r="J21" t="n">
        <v>0</v>
      </c>
      <c r="K21" s="7" t="n"/>
      <c r="L21" t="inlineStr">
        <is>
          <t>-</t>
        </is>
      </c>
      <c r="M21" s="9" t="n"/>
      <c r="N21" s="10">
        <f>I21/F21-1</f>
        <v/>
      </c>
    </row>
    <row r="22">
      <c r="A22" t="inlineStr">
        <is>
          <t>GUS122</t>
        </is>
      </c>
      <c r="B22" t="inlineStr">
        <is>
          <t>GUSSE MEY.PÜRE 1,1LT  FRAMBUAZ</t>
        </is>
      </c>
      <c r="C22" t="inlineStr">
        <is>
          <t>AD</t>
        </is>
      </c>
      <c r="D22" t="n">
        <v>1</v>
      </c>
      <c r="E22" s="7" t="n">
        <v>46240</v>
      </c>
      <c r="F22" s="9" t="n">
        <v>660</v>
      </c>
      <c r="G22" s="7" t="n">
        <v>46240</v>
      </c>
      <c r="H22" t="inlineStr">
        <is>
          <t>A00000000257288</t>
        </is>
      </c>
      <c r="I22" s="9" t="n">
        <v>660</v>
      </c>
      <c r="J22" t="n">
        <v>0</v>
      </c>
      <c r="K22" s="7" t="n"/>
      <c r="L22" t="inlineStr">
        <is>
          <t>-</t>
        </is>
      </c>
      <c r="M22" s="9" t="n"/>
      <c r="N22" s="10">
        <f>I22/F22-1</f>
        <v/>
      </c>
    </row>
    <row r="23">
      <c r="A23" t="inlineStr">
        <is>
          <t>GUS123</t>
        </is>
      </c>
      <c r="B23" t="inlineStr">
        <is>
          <t>GUSSE MEY.PÜRE 1,1LT  BÖĞÜRTLEN</t>
        </is>
      </c>
      <c r="C23" t="inlineStr">
        <is>
          <t>AD</t>
        </is>
      </c>
      <c r="D23" t="n">
        <v>1</v>
      </c>
      <c r="E23" s="7" t="n">
        <v>46235</v>
      </c>
      <c r="F23" s="9" t="n">
        <v>660</v>
      </c>
      <c r="G23" s="7" t="n">
        <v>46235</v>
      </c>
      <c r="H23" t="inlineStr">
        <is>
          <t>A00000000256933</t>
        </is>
      </c>
      <c r="I23" s="9" t="n">
        <v>660</v>
      </c>
      <c r="J23" t="n">
        <v>0</v>
      </c>
      <c r="K23" s="7" t="n"/>
      <c r="L23" t="inlineStr">
        <is>
          <t>-</t>
        </is>
      </c>
      <c r="M23" s="9" t="n"/>
      <c r="N23" s="10">
        <f>I23/F23-1</f>
        <v/>
      </c>
    </row>
    <row r="24">
      <c r="A24" t="inlineStr">
        <is>
          <t>GUS128</t>
        </is>
      </c>
      <c r="B24" t="inlineStr">
        <is>
          <t>GUSSE MEY.PÜRE 1,1LT  ÇARKIFELEK (PASSİON FRUİT)</t>
        </is>
      </c>
      <c r="C24" t="inlineStr">
        <is>
          <t>AD</t>
        </is>
      </c>
      <c r="D24" t="n">
        <v>1</v>
      </c>
      <c r="E24" s="7" t="n">
        <v>46245</v>
      </c>
      <c r="F24" s="9" t="n">
        <v>660</v>
      </c>
      <c r="G24" s="7" t="n">
        <v>46245</v>
      </c>
      <c r="H24" t="inlineStr">
        <is>
          <t>A00000000257725</t>
        </is>
      </c>
      <c r="I24" s="9" t="n">
        <v>660</v>
      </c>
      <c r="J24" t="n">
        <v>0</v>
      </c>
      <c r="K24" s="7" t="n"/>
      <c r="L24" t="inlineStr">
        <is>
          <t>-</t>
        </is>
      </c>
      <c r="M24" s="9" t="n"/>
      <c r="N24" s="10">
        <f>I24/F24-1</f>
        <v/>
      </c>
    </row>
    <row r="25">
      <c r="A25" t="inlineStr">
        <is>
          <t>GUS129</t>
        </is>
      </c>
      <c r="B25" t="inlineStr">
        <is>
          <t>GUSSE MEY.PÜRE 1,1LT  HİNDİSTAN CEVİZİ</t>
        </is>
      </c>
      <c r="C25" t="inlineStr">
        <is>
          <t>AD</t>
        </is>
      </c>
      <c r="D25" t="n">
        <v>2</v>
      </c>
      <c r="E25" s="7" t="n">
        <v>46235</v>
      </c>
      <c r="F25" s="9" t="n">
        <v>660</v>
      </c>
      <c r="G25" s="7" t="n">
        <v>46245</v>
      </c>
      <c r="H25" t="inlineStr">
        <is>
          <t>A00000000257725</t>
        </is>
      </c>
      <c r="I25" s="9" t="n">
        <v>660</v>
      </c>
      <c r="J25" t="n">
        <v>0</v>
      </c>
      <c r="K25" s="7" t="n"/>
      <c r="L25" t="inlineStr">
        <is>
          <t>-</t>
        </is>
      </c>
      <c r="M25" s="9" t="n"/>
      <c r="N25" s="10">
        <f>I25/F25-1</f>
        <v/>
      </c>
    </row>
    <row r="26">
      <c r="A26" t="inlineStr">
        <is>
          <t>GUS170</t>
        </is>
      </c>
      <c r="B26" t="inlineStr">
        <is>
          <t>GUSSE TOZ İÇECEK 1KG  SICAK ÇİKOLATA</t>
        </is>
      </c>
      <c r="C26" t="inlineStr">
        <is>
          <t>AD</t>
        </is>
      </c>
      <c r="D26" t="n">
        <v>2</v>
      </c>
      <c r="E26" s="7" t="n">
        <v>46302</v>
      </c>
      <c r="F26" s="9" t="n">
        <v>700</v>
      </c>
      <c r="G26" s="7" t="n">
        <v>46315</v>
      </c>
      <c r="H26" t="inlineStr">
        <is>
          <t>A00000000263385</t>
        </is>
      </c>
      <c r="I26" s="9" t="n">
        <v>700</v>
      </c>
      <c r="J26" t="n">
        <v>0</v>
      </c>
      <c r="K26" s="7" t="n"/>
      <c r="L26" t="inlineStr">
        <is>
          <t>-</t>
        </is>
      </c>
      <c r="M26" s="9" t="n"/>
      <c r="N26" s="10">
        <f>I26/F26-1</f>
        <v/>
      </c>
    </row>
    <row r="27">
      <c r="A27" t="inlineStr">
        <is>
          <t>GUS175</t>
        </is>
      </c>
      <c r="B27" t="inlineStr">
        <is>
          <t>GUSSE TOZ İÇECEK 1KG  CHAİ TEA</t>
        </is>
      </c>
      <c r="C27" t="inlineStr">
        <is>
          <t>AD</t>
        </is>
      </c>
      <c r="D27" t="n">
        <v>1</v>
      </c>
      <c r="E27" s="7" t="n">
        <v>46210</v>
      </c>
      <c r="F27" s="9" t="n">
        <v>480</v>
      </c>
      <c r="G27" s="7" t="n">
        <v>46210</v>
      </c>
      <c r="H27" t="inlineStr">
        <is>
          <t>A00000000255017</t>
        </is>
      </c>
      <c r="I27" s="9" t="n">
        <v>480</v>
      </c>
      <c r="J27" t="n">
        <v>0</v>
      </c>
      <c r="K27" s="7" t="n"/>
      <c r="L27" t="inlineStr">
        <is>
          <t>-</t>
        </is>
      </c>
      <c r="M27" s="9" t="n"/>
      <c r="N27" s="10">
        <f>I27/F27-1</f>
        <v/>
      </c>
    </row>
    <row r="28">
      <c r="A28" t="inlineStr">
        <is>
          <t>GUS190</t>
        </is>
      </c>
      <c r="B28" t="inlineStr">
        <is>
          <t>GUSSTEA   ADA ÇAYI  100G</t>
        </is>
      </c>
      <c r="C28" t="inlineStr">
        <is>
          <t>AD</t>
        </is>
      </c>
      <c r="D28" t="n">
        <v>1</v>
      </c>
      <c r="E28" s="7" t="n">
        <v>46301</v>
      </c>
      <c r="F28" s="9" t="n">
        <v>280.37</v>
      </c>
      <c r="G28" s="7" t="n">
        <v>46301</v>
      </c>
      <c r="H28" t="inlineStr">
        <is>
          <t>A00000000262148</t>
        </is>
      </c>
      <c r="I28" s="9" t="n">
        <v>280.37</v>
      </c>
      <c r="J28" t="n">
        <v>0</v>
      </c>
      <c r="K28" s="7" t="n"/>
      <c r="L28" t="inlineStr">
        <is>
          <t>-</t>
        </is>
      </c>
      <c r="M28" s="9" t="n"/>
      <c r="N28" s="10">
        <f>I28/F28-1</f>
        <v/>
      </c>
    </row>
    <row r="29">
      <c r="A29" t="inlineStr">
        <is>
          <t>GUS191</t>
        </is>
      </c>
      <c r="B29" t="inlineStr">
        <is>
          <t>GUSSTEA   KUŞBURNU 350G</t>
        </is>
      </c>
      <c r="C29" t="inlineStr">
        <is>
          <t>AD</t>
        </is>
      </c>
      <c r="D29" t="n">
        <v>1</v>
      </c>
      <c r="E29" s="7" t="n">
        <v>46301</v>
      </c>
      <c r="F29" s="9" t="n">
        <v>489.325</v>
      </c>
      <c r="G29" s="7" t="n">
        <v>46301</v>
      </c>
      <c r="H29" t="inlineStr">
        <is>
          <t>A00000000262148</t>
        </is>
      </c>
      <c r="I29" s="9" t="n">
        <v>489.325</v>
      </c>
      <c r="J29" t="n">
        <v>0</v>
      </c>
      <c r="K29" s="7" t="n"/>
      <c r="L29" t="inlineStr">
        <is>
          <t>-</t>
        </is>
      </c>
      <c r="M29" s="9" t="n"/>
      <c r="N29" s="10">
        <f>I29/F29-1</f>
        <v/>
      </c>
    </row>
    <row r="30">
      <c r="A30" t="inlineStr">
        <is>
          <t>GUS192</t>
        </is>
      </c>
      <c r="B30" t="inlineStr">
        <is>
          <t>GUSSTEA   PAPATYA 100G</t>
        </is>
      </c>
      <c r="C30" t="inlineStr">
        <is>
          <t>AD</t>
        </is>
      </c>
      <c r="D30" t="n">
        <v>1</v>
      </c>
      <c r="E30" s="7" t="n">
        <v>46301</v>
      </c>
      <c r="F30" s="9" t="n">
        <v>436.425</v>
      </c>
      <c r="G30" s="7" t="n">
        <v>46301</v>
      </c>
      <c r="H30" t="inlineStr">
        <is>
          <t>A00000000262148</t>
        </is>
      </c>
      <c r="I30" s="9" t="n">
        <v>436.425</v>
      </c>
      <c r="J30" t="n">
        <v>0</v>
      </c>
      <c r="K30" s="7" t="n"/>
      <c r="L30" t="inlineStr">
        <is>
          <t>-</t>
        </is>
      </c>
      <c r="M30" s="9" t="n"/>
      <c r="N30" s="10">
        <f>I30/F30-1</f>
        <v/>
      </c>
    </row>
    <row r="31">
      <c r="A31" t="inlineStr">
        <is>
          <t>GUS193</t>
        </is>
      </c>
      <c r="B31" t="inlineStr">
        <is>
          <t>GUSSTEA   IHLAMUR 100G</t>
        </is>
      </c>
      <c r="C31" t="inlineStr">
        <is>
          <t>AD</t>
        </is>
      </c>
      <c r="D31" t="n">
        <v>2</v>
      </c>
      <c r="E31" s="7" t="n">
        <v>46204</v>
      </c>
      <c r="F31" s="9" t="n">
        <v>1084.45</v>
      </c>
      <c r="G31" s="7" t="n">
        <v>46301</v>
      </c>
      <c r="H31" t="inlineStr">
        <is>
          <t>A00000000262148</t>
        </is>
      </c>
      <c r="I31" s="9" t="n">
        <v>1084.45</v>
      </c>
      <c r="J31" t="n">
        <v>0</v>
      </c>
      <c r="K31" s="7" t="n"/>
      <c r="L31" t="inlineStr">
        <is>
          <t>-</t>
        </is>
      </c>
      <c r="M31" s="9" t="n"/>
      <c r="N31" s="10">
        <f>I31/F31-1</f>
        <v/>
      </c>
    </row>
    <row r="32">
      <c r="A32" t="inlineStr">
        <is>
          <t>GUS194</t>
        </is>
      </c>
      <c r="B32" t="inlineStr">
        <is>
          <t>GUSSTEA   KIŞ ÇAYI 350G</t>
        </is>
      </c>
      <c r="C32" t="inlineStr">
        <is>
          <t>AD</t>
        </is>
      </c>
      <c r="D32" t="n">
        <v>1</v>
      </c>
      <c r="E32" s="7" t="n">
        <v>46301</v>
      </c>
      <c r="F32" s="9" t="n">
        <v>560.74</v>
      </c>
      <c r="G32" s="7" t="n">
        <v>46301</v>
      </c>
      <c r="H32" t="inlineStr">
        <is>
          <t>A00000000262148</t>
        </is>
      </c>
      <c r="I32" s="9" t="n">
        <v>560.74</v>
      </c>
      <c r="J32" t="n">
        <v>0</v>
      </c>
      <c r="K32" s="7" t="n"/>
      <c r="L32" t="inlineStr">
        <is>
          <t>-</t>
        </is>
      </c>
      <c r="M32" s="9" t="n"/>
      <c r="N32" s="10">
        <f>I32/F32-1</f>
        <v/>
      </c>
    </row>
    <row r="33">
      <c r="A33" t="inlineStr">
        <is>
          <t>GUS195</t>
        </is>
      </c>
      <c r="B33" t="inlineStr">
        <is>
          <t>GUSSTEA   YEŞİL ÇAY 250G</t>
        </is>
      </c>
      <c r="C33" t="inlineStr">
        <is>
          <t>AD</t>
        </is>
      </c>
      <c r="D33" t="n">
        <v>3</v>
      </c>
      <c r="E33" s="7" t="n">
        <v>46204</v>
      </c>
      <c r="F33" s="9" t="n">
        <v>462.88</v>
      </c>
      <c r="G33" s="7" t="n">
        <v>46301</v>
      </c>
      <c r="H33" t="inlineStr">
        <is>
          <t>A00000000262148</t>
        </is>
      </c>
      <c r="I33" s="9" t="n">
        <v>462.875</v>
      </c>
      <c r="J33" t="n">
        <v>2</v>
      </c>
      <c r="K33" s="7" t="n">
        <v>46301</v>
      </c>
      <c r="L33" t="inlineStr">
        <is>
          <t>TL sabit fiyat değişti</t>
        </is>
      </c>
      <c r="M33" s="9" t="n"/>
      <c r="N33" s="10">
        <f>I33/F33-1</f>
        <v/>
      </c>
    </row>
    <row r="34">
      <c r="A34" t="inlineStr">
        <is>
          <t>GUS196</t>
        </is>
      </c>
      <c r="B34" t="inlineStr">
        <is>
          <t>GUSSTEA   ELMA TARÇIN 250G</t>
        </is>
      </c>
      <c r="C34" t="inlineStr">
        <is>
          <t>AD</t>
        </is>
      </c>
      <c r="D34" t="n">
        <v>2</v>
      </c>
      <c r="E34" s="7" t="n">
        <v>46256</v>
      </c>
      <c r="F34" s="9" t="n">
        <v>333.8983</v>
      </c>
      <c r="G34" s="7" t="n">
        <v>46301</v>
      </c>
      <c r="H34" t="inlineStr">
        <is>
          <t>A00000000262148</t>
        </is>
      </c>
      <c r="I34" s="9" t="n">
        <v>337.2375</v>
      </c>
      <c r="J34" t="n">
        <v>1</v>
      </c>
      <c r="K34" s="7" t="n">
        <v>46301</v>
      </c>
      <c r="L34" t="inlineStr">
        <is>
          <t>TL sabit fiyat değişti</t>
        </is>
      </c>
      <c r="M34" s="9" t="n"/>
      <c r="N34" s="10">
        <f>I34/F34-1</f>
        <v/>
      </c>
    </row>
    <row r="35">
      <c r="A35" t="inlineStr">
        <is>
          <t>GUS197</t>
        </is>
      </c>
      <c r="B35" t="inlineStr">
        <is>
          <t>GUSSTEA   MELİSA ÇAYI 50G</t>
        </is>
      </c>
      <c r="C35" t="inlineStr">
        <is>
          <t>AD</t>
        </is>
      </c>
      <c r="D35" t="n">
        <v>1</v>
      </c>
      <c r="E35" s="7" t="n">
        <v>46301</v>
      </c>
      <c r="F35" s="9" t="n">
        <v>357.075</v>
      </c>
      <c r="G35" s="7" t="n">
        <v>46301</v>
      </c>
      <c r="H35" t="inlineStr">
        <is>
          <t>A00000000262148</t>
        </is>
      </c>
      <c r="I35" s="9" t="n">
        <v>357.075</v>
      </c>
      <c r="J35" t="n">
        <v>0</v>
      </c>
      <c r="K35" s="7" t="n"/>
      <c r="L35" t="inlineStr">
        <is>
          <t>-</t>
        </is>
      </c>
      <c r="M35" s="9" t="n"/>
      <c r="N35" s="10">
        <f>I35/F35-1</f>
        <v/>
      </c>
    </row>
    <row r="36">
      <c r="A36" t="inlineStr">
        <is>
          <t>GUS198</t>
        </is>
      </c>
      <c r="B36" t="inlineStr">
        <is>
          <t>GUSSTEA   REZENE 350G</t>
        </is>
      </c>
      <c r="C36" t="inlineStr">
        <is>
          <t>AD</t>
        </is>
      </c>
      <c r="D36" t="n">
        <v>1</v>
      </c>
      <c r="E36" s="7" t="n">
        <v>46301</v>
      </c>
      <c r="F36" s="9" t="n">
        <v>515.775</v>
      </c>
      <c r="G36" s="7" t="n">
        <v>46301</v>
      </c>
      <c r="H36" t="inlineStr">
        <is>
          <t>A00000000262148</t>
        </is>
      </c>
      <c r="I36" s="9" t="n">
        <v>515.775</v>
      </c>
      <c r="J36" t="n">
        <v>0</v>
      </c>
      <c r="K36" s="7" t="n"/>
      <c r="L36" t="inlineStr">
        <is>
          <t>-</t>
        </is>
      </c>
      <c r="M36" s="9" t="n"/>
      <c r="N36" s="10">
        <f>I36/F36-1</f>
        <v/>
      </c>
    </row>
    <row r="37">
      <c r="A37" t="inlineStr">
        <is>
          <t>GUS200</t>
        </is>
      </c>
      <c r="B37" t="inlineStr">
        <is>
          <t>GUSSTEA   NANE LİMON  250G</t>
        </is>
      </c>
      <c r="C37" t="inlineStr">
        <is>
          <t>AD</t>
        </is>
      </c>
      <c r="D37" t="n">
        <v>1</v>
      </c>
      <c r="E37" s="7" t="n">
        <v>46301</v>
      </c>
      <c r="F37" s="9" t="n">
        <v>462.875</v>
      </c>
      <c r="G37" s="7" t="n">
        <v>46301</v>
      </c>
      <c r="H37" t="inlineStr">
        <is>
          <t>A00000000262148</t>
        </is>
      </c>
      <c r="I37" s="9" t="n">
        <v>462.875</v>
      </c>
      <c r="J37" t="n">
        <v>0</v>
      </c>
      <c r="K37" s="7" t="n"/>
      <c r="L37" t="inlineStr">
        <is>
          <t>-</t>
        </is>
      </c>
      <c r="M37" s="9" t="n"/>
      <c r="N37" s="10">
        <f>I37/F37-1</f>
        <v/>
      </c>
    </row>
    <row r="38">
      <c r="A38" t="inlineStr">
        <is>
          <t>IMP005</t>
        </is>
      </c>
      <c r="B38" t="inlineStr">
        <is>
          <t>CAM KAVANOZ +KAPAK 300 CC</t>
        </is>
      </c>
      <c r="C38" t="inlineStr">
        <is>
          <t>AD</t>
        </is>
      </c>
      <c r="D38" t="n">
        <v>4</v>
      </c>
      <c r="E38" s="7" t="n">
        <v>46231</v>
      </c>
      <c r="F38" s="9" t="n">
        <v>22.5934</v>
      </c>
      <c r="G38" s="7" t="n">
        <v>46296</v>
      </c>
      <c r="H38" t="inlineStr">
        <is>
          <t>A00000000261821</t>
        </is>
      </c>
      <c r="I38" s="9" t="n">
        <v>23.0641</v>
      </c>
      <c r="J38" t="n">
        <v>1</v>
      </c>
      <c r="K38" s="7" t="n">
        <v>46281</v>
      </c>
      <c r="L38" t="inlineStr">
        <is>
          <t>Kur dönemi değişti (48→49)</t>
        </is>
      </c>
      <c r="M38" s="9" t="n">
        <v>0.4707</v>
      </c>
      <c r="N38" s="10">
        <f>I38/F38-1</f>
        <v/>
      </c>
    </row>
    <row r="39">
      <c r="A39" t="inlineStr">
        <is>
          <t>KRK038</t>
        </is>
      </c>
      <c r="B39" t="inlineStr">
        <is>
          <t>ÇÖP ŞİŞ 25 CM PK/100  KL/200PK</t>
        </is>
      </c>
      <c r="C39" t="inlineStr">
        <is>
          <t>PK</t>
        </is>
      </c>
      <c r="D39" t="n">
        <v>3</v>
      </c>
      <c r="E39" s="7" t="n">
        <v>46218</v>
      </c>
      <c r="F39" s="9" t="n">
        <v>36.432</v>
      </c>
      <c r="G39" s="7" t="n">
        <v>46308</v>
      </c>
      <c r="H39" t="inlineStr">
        <is>
          <t>A00000000262812</t>
        </is>
      </c>
      <c r="I39" s="9" t="n">
        <v>37.95</v>
      </c>
      <c r="J39" t="n">
        <v>1</v>
      </c>
      <c r="K39" s="7" t="n">
        <v>46308</v>
      </c>
      <c r="L39" t="inlineStr">
        <is>
          <t>Kur dönemi değişti (48→50)</t>
        </is>
      </c>
      <c r="M39" s="9" t="n">
        <v>0.759</v>
      </c>
      <c r="N39" s="10">
        <f>I39/F39-1</f>
        <v/>
      </c>
    </row>
    <row r="40">
      <c r="A40" t="inlineStr">
        <is>
          <t>LMR019</t>
        </is>
      </c>
      <c r="B40" t="inlineStr">
        <is>
          <t>L-420 YÜKSEK PASTA KAPAĞI L PK/50 KL/4PK</t>
        </is>
      </c>
      <c r="C40" t="inlineStr">
        <is>
          <t>PK</t>
        </is>
      </c>
      <c r="D40" t="n">
        <v>1</v>
      </c>
      <c r="E40" s="7" t="n">
        <v>46228</v>
      </c>
      <c r="F40" s="9" t="n">
        <v>1095.2381</v>
      </c>
      <c r="G40" s="7" t="n">
        <v>46228</v>
      </c>
      <c r="H40" t="inlineStr">
        <is>
          <t>C00000000220907</t>
        </is>
      </c>
      <c r="I40" s="9" t="n">
        <v>1095.2381</v>
      </c>
      <c r="J40" t="n">
        <v>0</v>
      </c>
      <c r="K40" s="7" t="n"/>
      <c r="L40" t="inlineStr">
        <is>
          <t>-</t>
        </is>
      </c>
      <c r="M40" s="9" t="n">
        <v>23.95833</v>
      </c>
      <c r="N40" s="10">
        <f>I40/F40-1</f>
        <v/>
      </c>
    </row>
    <row r="41">
      <c r="A41" t="inlineStr">
        <is>
          <t>LMR020</t>
        </is>
      </c>
      <c r="B41" t="inlineStr">
        <is>
          <t>L-425 PASTA KABI ALT L SİYAH  PK/50 KL/4PK</t>
        </is>
      </c>
      <c r="C41" t="inlineStr">
        <is>
          <t>PK</t>
        </is>
      </c>
      <c r="D41" t="n">
        <v>1</v>
      </c>
      <c r="E41" s="7" t="n">
        <v>46228</v>
      </c>
      <c r="F41" s="9" t="n">
        <v>857.1429000000001</v>
      </c>
      <c r="G41" s="7" t="n">
        <v>46228</v>
      </c>
      <c r="H41" t="inlineStr">
        <is>
          <t>C00000000220907</t>
        </is>
      </c>
      <c r="I41" s="9" t="n">
        <v>857.1429000000001</v>
      </c>
      <c r="J41" t="n">
        <v>0</v>
      </c>
      <c r="K41" s="7" t="n"/>
      <c r="L41" t="inlineStr">
        <is>
          <t>-</t>
        </is>
      </c>
      <c r="M41" s="9" t="n">
        <v>18.75</v>
      </c>
      <c r="N41" s="10">
        <f>I41/F41-1</f>
        <v/>
      </c>
    </row>
    <row r="42">
      <c r="A42" t="inlineStr">
        <is>
          <t>LMR024</t>
        </is>
      </c>
      <c r="B42" t="inlineStr">
        <is>
          <t>L-ST1 SUSHİ (160X91) KAP+KAPAK PK/100 KL/4PK</t>
        </is>
      </c>
      <c r="C42" t="inlineStr">
        <is>
          <t>PK</t>
        </is>
      </c>
      <c r="D42" t="n">
        <v>1</v>
      </c>
      <c r="E42" s="7" t="n">
        <v>46308</v>
      </c>
      <c r="F42" s="9" t="n">
        <v>485</v>
      </c>
      <c r="G42" s="7" t="n">
        <v>46308</v>
      </c>
      <c r="H42" t="inlineStr">
        <is>
          <t>A00000000262721</t>
        </is>
      </c>
      <c r="I42" s="9" t="n">
        <v>485</v>
      </c>
      <c r="J42" t="n">
        <v>0</v>
      </c>
      <c r="K42" s="7" t="n"/>
      <c r="L42" t="inlineStr">
        <is>
          <t>-</t>
        </is>
      </c>
      <c r="M42" s="9" t="n"/>
      <c r="N42" s="10">
        <f>I42/F42-1</f>
        <v/>
      </c>
    </row>
    <row r="43">
      <c r="A43" t="inlineStr">
        <is>
          <t>LMR026</t>
        </is>
      </c>
      <c r="B43" t="inlineStr">
        <is>
          <t>L-ST5 SUSHİ (216X136) KAP+KAPAK PK/100 KL/4</t>
        </is>
      </c>
      <c r="C43" t="inlineStr">
        <is>
          <t>PK</t>
        </is>
      </c>
      <c r="D43" t="n">
        <v>1</v>
      </c>
      <c r="E43" s="7" t="n">
        <v>46308</v>
      </c>
      <c r="F43" s="9" t="n">
        <v>1000</v>
      </c>
      <c r="G43" s="7" t="n">
        <v>46308</v>
      </c>
      <c r="H43" t="inlineStr">
        <is>
          <t>A00000000262721</t>
        </is>
      </c>
      <c r="I43" s="9" t="n">
        <v>1000</v>
      </c>
      <c r="J43" t="n">
        <v>0</v>
      </c>
      <c r="K43" s="7" t="n"/>
      <c r="L43" t="inlineStr">
        <is>
          <t>-</t>
        </is>
      </c>
      <c r="M43" s="9" t="n"/>
      <c r="N43" s="10">
        <f>I43/F43-1</f>
        <v/>
      </c>
    </row>
    <row r="44">
      <c r="A44" t="inlineStr">
        <is>
          <t>LMR085</t>
        </is>
      </c>
      <c r="B44" t="inlineStr">
        <is>
          <t>L-500 SIZDIRMAZ APERATİF PET KAB Q76 PK/50AD KL/8PK</t>
        </is>
      </c>
      <c r="C44" t="inlineStr">
        <is>
          <t>AD</t>
        </is>
      </c>
      <c r="D44" t="n">
        <v>1</v>
      </c>
      <c r="E44" s="7" t="n">
        <v>46238</v>
      </c>
      <c r="F44" s="9" t="n">
        <v>9.5238</v>
      </c>
      <c r="G44" s="7" t="n">
        <v>46238</v>
      </c>
      <c r="H44" t="inlineStr">
        <is>
          <t>A00000000257088</t>
        </is>
      </c>
      <c r="I44" s="9" t="n">
        <v>9.5238</v>
      </c>
      <c r="J44" t="n">
        <v>0</v>
      </c>
      <c r="K44" s="7" t="n"/>
      <c r="L44" t="inlineStr">
        <is>
          <t>-</t>
        </is>
      </c>
      <c r="M44" s="9" t="n">
        <v>0.20833</v>
      </c>
      <c r="N44" s="10">
        <f>I44/F44-1</f>
        <v/>
      </c>
    </row>
    <row r="45">
      <c r="A45" t="inlineStr">
        <is>
          <t>MC01</t>
        </is>
      </c>
      <c r="B45" t="inlineStr">
        <is>
          <t>ÇATAL NİŞASTA BİO 165MM PK/100AD KL/16PK</t>
        </is>
      </c>
      <c r="C45" t="inlineStr">
        <is>
          <t>PK</t>
        </is>
      </c>
      <c r="D45" t="n">
        <v>3</v>
      </c>
      <c r="E45" s="7" t="n">
        <v>46204</v>
      </c>
      <c r="F45" s="9" t="n">
        <v>162.15</v>
      </c>
      <c r="G45" s="7" t="n">
        <v>46218</v>
      </c>
      <c r="H45" t="inlineStr">
        <is>
          <t>A00000000255479</t>
        </is>
      </c>
      <c r="I45" s="9" t="n">
        <v>165.6</v>
      </c>
      <c r="J45" t="n">
        <v>1</v>
      </c>
      <c r="K45" s="7" t="n">
        <v>46218</v>
      </c>
      <c r="L45" t="inlineStr">
        <is>
          <t>Kur dönemi değişti (47→48)</t>
        </is>
      </c>
      <c r="M45" s="9" t="n">
        <v>3.45</v>
      </c>
      <c r="N45" s="10">
        <f>I45/F45-1</f>
        <v/>
      </c>
    </row>
    <row r="46">
      <c r="A46" t="inlineStr">
        <is>
          <t>MC02</t>
        </is>
      </c>
      <c r="B46" t="inlineStr">
        <is>
          <t>KAŞIK NİŞASTA BİO 168MM PK/100AD KL/12PK</t>
        </is>
      </c>
      <c r="C46" t="inlineStr">
        <is>
          <t>PK</t>
        </is>
      </c>
      <c r="D46" t="n">
        <v>10</v>
      </c>
      <c r="E46" s="7" t="n">
        <v>46204</v>
      </c>
      <c r="F46" s="9" t="n">
        <v>179.54</v>
      </c>
      <c r="G46" s="7" t="n">
        <v>46315</v>
      </c>
      <c r="H46" t="inlineStr">
        <is>
          <t>A00000000263385</t>
        </is>
      </c>
      <c r="I46" s="9" t="n">
        <v>191</v>
      </c>
      <c r="J46" t="n">
        <v>3</v>
      </c>
      <c r="K46" s="7" t="n">
        <v>46315</v>
      </c>
      <c r="L46" t="inlineStr">
        <is>
          <t>Kur dönemi değişti (49→50)</t>
        </is>
      </c>
      <c r="M46" s="9" t="n">
        <v>3.82</v>
      </c>
      <c r="N46" s="10">
        <f>I46/F46-1</f>
        <v/>
      </c>
    </row>
    <row r="47">
      <c r="A47" t="inlineStr">
        <is>
          <t>MC03</t>
        </is>
      </c>
      <c r="B47" t="inlineStr">
        <is>
          <t>BIÇAK NİŞASTA BİO 161MM PK/100AD KL/16PK</t>
        </is>
      </c>
      <c r="C47" t="inlineStr">
        <is>
          <t>PK</t>
        </is>
      </c>
      <c r="D47" t="n">
        <v>8</v>
      </c>
      <c r="E47" s="7" t="n">
        <v>46206</v>
      </c>
      <c r="F47" s="9" t="n">
        <v>129.72</v>
      </c>
      <c r="G47" s="7" t="n">
        <v>46296</v>
      </c>
      <c r="H47" t="inlineStr">
        <is>
          <t>A00000000261821</t>
        </is>
      </c>
      <c r="I47" s="9" t="n">
        <v>135.24</v>
      </c>
      <c r="J47" t="n">
        <v>2</v>
      </c>
      <c r="K47" s="7" t="n">
        <v>46267</v>
      </c>
      <c r="L47" t="inlineStr">
        <is>
          <t>Kur dönemi değişti (48→49)</t>
        </is>
      </c>
      <c r="M47" s="9" t="n">
        <v>2.76</v>
      </c>
      <c r="N47" s="10">
        <f>I47/F47-1</f>
        <v/>
      </c>
    </row>
    <row r="48">
      <c r="A48" t="inlineStr">
        <is>
          <t>MKR022</t>
        </is>
      </c>
      <c r="B48" t="inlineStr">
        <is>
          <t>AYAKLI KASE 200 CC KAPAK PK/50AD KL/20PK</t>
        </is>
      </c>
      <c r="C48" t="inlineStr">
        <is>
          <t>PK</t>
        </is>
      </c>
      <c r="D48" t="n">
        <v>4</v>
      </c>
      <c r="E48" s="7" t="n">
        <v>46287</v>
      </c>
      <c r="F48" s="9" t="n">
        <v>92.12</v>
      </c>
      <c r="G48" s="7" t="n">
        <v>46315</v>
      </c>
      <c r="H48" t="inlineStr">
        <is>
          <t>A00000000263385</t>
        </is>
      </c>
      <c r="I48" s="9" t="n">
        <v>94</v>
      </c>
      <c r="J48" t="n">
        <v>1</v>
      </c>
      <c r="K48" s="7" t="n">
        <v>46315</v>
      </c>
      <c r="L48" t="inlineStr">
        <is>
          <t>Kur dönemi değişti (49→50)</t>
        </is>
      </c>
      <c r="M48" s="9" t="n">
        <v>1.88</v>
      </c>
      <c r="N48" s="10">
        <f>I48/F48-1</f>
        <v/>
      </c>
    </row>
    <row r="49">
      <c r="A49" t="inlineStr">
        <is>
          <t>MKR023</t>
        </is>
      </c>
      <c r="B49" t="inlineStr">
        <is>
          <t>PP SOS KABI KAPAKLI 4 OZ 120 ML PK/50AD KL/10PK</t>
        </is>
      </c>
      <c r="C49" t="inlineStr">
        <is>
          <t>PK</t>
        </is>
      </c>
      <c r="D49" t="n">
        <v>5</v>
      </c>
      <c r="E49" s="7" t="n">
        <v>46218</v>
      </c>
      <c r="F49" s="9" t="n">
        <v>100.8</v>
      </c>
      <c r="G49" s="7" t="n">
        <v>46303</v>
      </c>
      <c r="H49" t="inlineStr">
        <is>
          <t>A00000000262330</t>
        </is>
      </c>
      <c r="I49" s="9" t="n">
        <v>107.8</v>
      </c>
      <c r="J49" t="n">
        <v>1</v>
      </c>
      <c r="K49" s="7" t="n">
        <v>46239</v>
      </c>
      <c r="L49" t="inlineStr">
        <is>
          <t>Döviz (USD) liste fiyatı değişti</t>
        </is>
      </c>
      <c r="M49" s="9" t="n">
        <v>2.2</v>
      </c>
      <c r="N49" s="10">
        <f>I49/F49-1</f>
        <v/>
      </c>
    </row>
    <row r="50">
      <c r="A50" t="inlineStr">
        <is>
          <t>MKR025</t>
        </is>
      </c>
      <c r="B50" t="inlineStr">
        <is>
          <t>ÇATAL BEYAZ BİO PK/50AD KL/20PK</t>
        </is>
      </c>
      <c r="C50" t="inlineStr">
        <is>
          <t>PK</t>
        </is>
      </c>
      <c r="D50" t="n">
        <v>1</v>
      </c>
      <c r="E50" s="7" t="n">
        <v>46225</v>
      </c>
      <c r="F50" s="9" t="n">
        <v>116.3793</v>
      </c>
      <c r="G50" s="7" t="n">
        <v>46225</v>
      </c>
      <c r="H50" t="inlineStr">
        <is>
          <t>C00000000220905</t>
        </is>
      </c>
      <c r="I50" s="9" t="n">
        <v>116.3793</v>
      </c>
      <c r="J50" t="n">
        <v>0</v>
      </c>
      <c r="K50" s="7" t="n"/>
      <c r="L50" t="inlineStr">
        <is>
          <t>-</t>
        </is>
      </c>
      <c r="M50" s="9" t="n">
        <v>2.8125</v>
      </c>
      <c r="N50" s="10">
        <f>I50/F50-1</f>
        <v/>
      </c>
    </row>
    <row r="51">
      <c r="A51" t="inlineStr">
        <is>
          <t>MRK002</t>
        </is>
      </c>
      <c r="B51" t="inlineStr">
        <is>
          <t>TAHTA ÇATAL 16CM (PK/100AD KL/50PK)</t>
        </is>
      </c>
      <c r="C51" t="inlineStr">
        <is>
          <t>PK</t>
        </is>
      </c>
      <c r="D51" t="n">
        <v>9</v>
      </c>
      <c r="E51" s="7" t="n">
        <v>46204</v>
      </c>
      <c r="F51" s="9" t="n">
        <v>94</v>
      </c>
      <c r="G51" s="7" t="n">
        <v>46308</v>
      </c>
      <c r="H51" t="inlineStr">
        <is>
          <t>A00000000262812</t>
        </is>
      </c>
      <c r="I51" s="9" t="n">
        <v>135</v>
      </c>
      <c r="J51" t="n">
        <v>4</v>
      </c>
      <c r="K51" s="7" t="n">
        <v>46308</v>
      </c>
      <c r="L51" t="inlineStr">
        <is>
          <t>Kur dönemi değişti (49→50)</t>
        </is>
      </c>
      <c r="M51" s="9" t="n">
        <v>2.7</v>
      </c>
      <c r="N51" s="10">
        <f>I51/F51-1</f>
        <v/>
      </c>
    </row>
    <row r="52">
      <c r="A52" t="inlineStr">
        <is>
          <t>MRK004</t>
        </is>
      </c>
      <c r="B52" t="inlineStr">
        <is>
          <t>TAHTA DONDURMA KAŞIK 11CM (PK/100AD KL/100PK)</t>
        </is>
      </c>
      <c r="C52" t="inlineStr">
        <is>
          <t>PK</t>
        </is>
      </c>
      <c r="D52" t="n">
        <v>3</v>
      </c>
      <c r="E52" s="7" t="n">
        <v>46207</v>
      </c>
      <c r="F52" s="9" t="n">
        <v>86.2069</v>
      </c>
      <c r="G52" s="7" t="n">
        <v>46297</v>
      </c>
      <c r="H52" t="inlineStr">
        <is>
          <t>A00000000261813</t>
        </is>
      </c>
      <c r="I52" s="9" t="n">
        <v>98</v>
      </c>
      <c r="J52" t="n">
        <v>2</v>
      </c>
      <c r="K52" s="7" t="n">
        <v>46297</v>
      </c>
      <c r="L52" t="inlineStr">
        <is>
          <t>Kur dönemi değişti (48→49)</t>
        </is>
      </c>
      <c r="M52" s="9" t="n">
        <v>2</v>
      </c>
      <c r="N52" s="10">
        <f>I52/F52-1</f>
        <v/>
      </c>
    </row>
    <row r="53">
      <c r="A53" t="inlineStr">
        <is>
          <t>MRK006</t>
        </is>
      </c>
      <c r="B53" t="inlineStr">
        <is>
          <t>TAHTA BAMBU KÜRDAN 9CM (PK/50AD KL/200PK)</t>
        </is>
      </c>
      <c r="C53" t="inlineStr">
        <is>
          <t>PK</t>
        </is>
      </c>
      <c r="D53" t="n">
        <v>1</v>
      </c>
      <c r="E53" s="7" t="n">
        <v>46268</v>
      </c>
      <c r="F53" s="9" t="n">
        <v>47.4138</v>
      </c>
      <c r="G53" s="7" t="n">
        <v>46268</v>
      </c>
      <c r="H53" t="inlineStr">
        <is>
          <t>M00000000258320</t>
        </is>
      </c>
      <c r="I53" s="9" t="n">
        <v>47.4138</v>
      </c>
      <c r="J53" t="n">
        <v>0</v>
      </c>
      <c r="K53" s="7" t="n"/>
      <c r="L53" t="inlineStr">
        <is>
          <t>-</t>
        </is>
      </c>
      <c r="M53" s="9" t="n">
        <v>1.12245</v>
      </c>
      <c r="N53" s="10">
        <f>I53/F53-1</f>
        <v/>
      </c>
    </row>
    <row r="54">
      <c r="A54" t="inlineStr">
        <is>
          <t>MRK021</t>
        </is>
      </c>
      <c r="B54" t="inlineStr">
        <is>
          <t>BAMBU TOP KÜRDAN ALTIN 12CM PK/100AD KL/100PK</t>
        </is>
      </c>
      <c r="C54" t="inlineStr">
        <is>
          <t>PK</t>
        </is>
      </c>
      <c r="D54" t="n">
        <v>1</v>
      </c>
      <c r="E54" s="7" t="n">
        <v>46268</v>
      </c>
      <c r="F54" s="9" t="n">
        <v>129.3103</v>
      </c>
      <c r="G54" s="7" t="n">
        <v>46268</v>
      </c>
      <c r="H54" t="inlineStr">
        <is>
          <t>M00000000258320</t>
        </is>
      </c>
      <c r="I54" s="9" t="n">
        <v>129.3103</v>
      </c>
      <c r="J54" t="n">
        <v>0</v>
      </c>
      <c r="K54" s="7" t="n"/>
      <c r="L54" t="inlineStr">
        <is>
          <t>-</t>
        </is>
      </c>
      <c r="M54" s="9" t="n">
        <v>3.06122</v>
      </c>
      <c r="N54" s="10">
        <f>I54/F54-1</f>
        <v/>
      </c>
    </row>
    <row r="55">
      <c r="A55" t="inlineStr">
        <is>
          <t>MRK022</t>
        </is>
      </c>
      <c r="B55" t="inlineStr">
        <is>
          <t>TAHTA DONDURMA KAŞIK 9,5CM KARE PK/100 KL/100</t>
        </is>
      </c>
      <c r="C55" t="inlineStr">
        <is>
          <t>PK</t>
        </is>
      </c>
      <c r="D55" t="n">
        <v>1</v>
      </c>
      <c r="E55" s="7" t="n">
        <v>46204</v>
      </c>
      <c r="F55" s="9" t="n">
        <v>86.95</v>
      </c>
      <c r="G55" s="7" t="n">
        <v>46204</v>
      </c>
      <c r="H55" t="inlineStr">
        <is>
          <t>A00000000254474</t>
        </is>
      </c>
      <c r="I55" s="9" t="n">
        <v>86.95</v>
      </c>
      <c r="J55" t="n">
        <v>0</v>
      </c>
      <c r="K55" s="7" t="n"/>
      <c r="L55" t="inlineStr">
        <is>
          <t>-</t>
        </is>
      </c>
      <c r="M55" s="9" t="n">
        <v>1.85</v>
      </c>
      <c r="N55" s="10">
        <f>I55/F55-1</f>
        <v/>
      </c>
    </row>
    <row r="56">
      <c r="A56" t="inlineStr">
        <is>
          <t>MRK025</t>
        </is>
      </c>
      <c r="B56" t="inlineStr">
        <is>
          <t>BAMBU TOP KÜRDAN GÜMÜŞ 12CM PK/100AD KL/100PK</t>
        </is>
      </c>
      <c r="C56" t="inlineStr">
        <is>
          <t>PK</t>
        </is>
      </c>
      <c r="D56" t="n">
        <v>1</v>
      </c>
      <c r="E56" s="7" t="n">
        <v>46268</v>
      </c>
      <c r="F56" s="9" t="n">
        <v>129.3103</v>
      </c>
      <c r="G56" s="7" t="n">
        <v>46268</v>
      </c>
      <c r="H56" t="inlineStr">
        <is>
          <t>M00000000258320</t>
        </is>
      </c>
      <c r="I56" s="9" t="n">
        <v>129.3103</v>
      </c>
      <c r="J56" t="n">
        <v>0</v>
      </c>
      <c r="K56" s="7" t="n"/>
      <c r="L56" t="inlineStr">
        <is>
          <t>-</t>
        </is>
      </c>
      <c r="M56" s="9" t="n">
        <v>3.06122</v>
      </c>
      <c r="N56" s="10">
        <f>I56/F56-1</f>
        <v/>
      </c>
    </row>
    <row r="57">
      <c r="A57" t="inlineStr">
        <is>
          <t>MRK029</t>
        </is>
      </c>
      <c r="B57" t="inlineStr">
        <is>
          <t>TAHTA BAMBU KALP KÜRDAN 9CM (PK/100 KL/100)</t>
        </is>
      </c>
      <c r="C57" t="inlineStr">
        <is>
          <t>PK</t>
        </is>
      </c>
      <c r="D57" t="n">
        <v>1</v>
      </c>
      <c r="E57" s="7" t="n">
        <v>46268</v>
      </c>
      <c r="F57" s="9" t="n">
        <v>189.6552</v>
      </c>
      <c r="G57" s="7" t="n">
        <v>46268</v>
      </c>
      <c r="H57" t="inlineStr">
        <is>
          <t>M00000000258320</t>
        </is>
      </c>
      <c r="I57" s="9" t="n">
        <v>189.6552</v>
      </c>
      <c r="J57" t="n">
        <v>0</v>
      </c>
      <c r="K57" s="7" t="n"/>
      <c r="L57" t="inlineStr">
        <is>
          <t>-</t>
        </is>
      </c>
      <c r="M57" s="9" t="n">
        <v>4.4898</v>
      </c>
      <c r="N57" s="10">
        <f>I57/F57-1</f>
        <v/>
      </c>
    </row>
    <row r="58">
      <c r="A58" t="inlineStr">
        <is>
          <t>MRU00106</t>
        </is>
      </c>
      <c r="B58" t="inlineStr">
        <is>
          <t>GOLD MUFFIN KAPSUL MOR 50X39 PK/25AD</t>
        </is>
      </c>
      <c r="C58" t="inlineStr">
        <is>
          <t>PK</t>
        </is>
      </c>
      <c r="D58" t="n">
        <v>1</v>
      </c>
      <c r="E58" s="7" t="n">
        <v>46301</v>
      </c>
      <c r="F58" s="9" t="n">
        <v>114.2857</v>
      </c>
      <c r="G58" s="7" t="n">
        <v>46301</v>
      </c>
      <c r="H58" t="inlineStr">
        <is>
          <t>M00000000261374</t>
        </is>
      </c>
      <c r="I58" s="9" t="n">
        <v>114.2857</v>
      </c>
      <c r="J58" t="n">
        <v>0</v>
      </c>
      <c r="K58" s="7" t="n"/>
      <c r="L58" t="inlineStr">
        <is>
          <t>-</t>
        </is>
      </c>
      <c r="M58" s="9" t="n">
        <v>2.44898</v>
      </c>
      <c r="N58" s="10">
        <f>I58/F58-1</f>
        <v/>
      </c>
    </row>
    <row r="59">
      <c r="A59" t="inlineStr">
        <is>
          <t>MRU0105</t>
        </is>
      </c>
      <c r="B59" t="inlineStr">
        <is>
          <t>GOLD MUFFIN KAPSUL KIRMIZI 50X39 PK/25AD</t>
        </is>
      </c>
      <c r="C59" t="inlineStr">
        <is>
          <t>PK</t>
        </is>
      </c>
      <c r="D59" t="n">
        <v>1</v>
      </c>
      <c r="E59" s="7" t="n">
        <v>46308</v>
      </c>
      <c r="F59" s="9" t="n">
        <v>100</v>
      </c>
      <c r="G59" s="7" t="n">
        <v>46308</v>
      </c>
      <c r="H59" t="inlineStr">
        <is>
          <t>A00000000262812</t>
        </is>
      </c>
      <c r="I59" s="9" t="n">
        <v>100</v>
      </c>
      <c r="J59" t="n">
        <v>0</v>
      </c>
      <c r="K59" s="7" t="n"/>
      <c r="L59" t="inlineStr">
        <is>
          <t>-</t>
        </is>
      </c>
      <c r="M59" s="9" t="n"/>
      <c r="N59" s="10">
        <f>I59/F59-1</f>
        <v/>
      </c>
    </row>
    <row r="60">
      <c r="A60" t="inlineStr">
        <is>
          <t>MTP040</t>
        </is>
      </c>
      <c r="B60" t="inlineStr">
        <is>
          <t>MC 06 MİNİ KARE KAP 60CC ŞFFAF PK/25</t>
        </is>
      </c>
      <c r="C60" t="inlineStr">
        <is>
          <t>AD</t>
        </is>
      </c>
      <c r="D60" t="n">
        <v>1</v>
      </c>
      <c r="E60" s="7" t="n">
        <v>46267</v>
      </c>
      <c r="F60" s="9" t="n">
        <v>5.39</v>
      </c>
      <c r="G60" s="7" t="n">
        <v>46267</v>
      </c>
      <c r="H60" t="inlineStr">
        <is>
          <t>A00000000259302</t>
        </is>
      </c>
      <c r="I60" s="9" t="n">
        <v>5.39</v>
      </c>
      <c r="J60" t="n">
        <v>0</v>
      </c>
      <c r="K60" s="7" t="n"/>
      <c r="L60" t="inlineStr">
        <is>
          <t>-</t>
        </is>
      </c>
      <c r="M60" s="9" t="n">
        <v>0.11</v>
      </c>
      <c r="N60" s="10">
        <f>I60/F60-1</f>
        <v/>
      </c>
    </row>
    <row r="61">
      <c r="A61" t="inlineStr">
        <is>
          <t>MTP041</t>
        </is>
      </c>
      <c r="B61" t="inlineStr">
        <is>
          <t>MC.12 MİNİ KARE 120ML ŞFF PK/25AD 24PK/KL</t>
        </is>
      </c>
      <c r="C61" t="inlineStr">
        <is>
          <t>PK</t>
        </is>
      </c>
      <c r="D61" t="n">
        <v>1</v>
      </c>
      <c r="E61" s="7" t="n">
        <v>46267</v>
      </c>
      <c r="F61" s="9" t="n">
        <v>198.916</v>
      </c>
      <c r="G61" s="7" t="n">
        <v>46267</v>
      </c>
      <c r="H61" t="inlineStr">
        <is>
          <t>A00000000259302</t>
        </is>
      </c>
      <c r="I61" s="9" t="n">
        <v>198.916</v>
      </c>
      <c r="J61" t="n">
        <v>0</v>
      </c>
      <c r="K61" s="7" t="n"/>
      <c r="L61" t="inlineStr">
        <is>
          <t>-</t>
        </is>
      </c>
      <c r="M61" s="9" t="n">
        <v>4.0595</v>
      </c>
      <c r="N61" s="10">
        <f>I61/F61-1</f>
        <v/>
      </c>
    </row>
    <row r="62">
      <c r="A62" t="inlineStr">
        <is>
          <t>MTP043</t>
        </is>
      </c>
      <c r="B62" t="inlineStr">
        <is>
          <t>MC 24 MİNİ KARE  240ML ŞFFAF PK/24AD KL/15</t>
        </is>
      </c>
      <c r="C62" t="inlineStr">
        <is>
          <t>PK</t>
        </is>
      </c>
      <c r="D62" t="n">
        <v>1</v>
      </c>
      <c r="E62" s="7" t="n">
        <v>46267</v>
      </c>
      <c r="F62" s="9" t="n">
        <v>230.3</v>
      </c>
      <c r="G62" s="7" t="n">
        <v>46267</v>
      </c>
      <c r="H62" t="inlineStr">
        <is>
          <t>A00000000259302</t>
        </is>
      </c>
      <c r="I62" s="9" t="n">
        <v>230.3</v>
      </c>
      <c r="J62" t="n">
        <v>0</v>
      </c>
      <c r="K62" s="7" t="n"/>
      <c r="L62" t="inlineStr">
        <is>
          <t>-</t>
        </is>
      </c>
      <c r="M62" s="9" t="n">
        <v>4.7</v>
      </c>
      <c r="N62" s="10">
        <f>I62/F62-1</f>
        <v/>
      </c>
    </row>
    <row r="63">
      <c r="A63" t="inlineStr">
        <is>
          <t>MTP055</t>
        </is>
      </c>
      <c r="B63" t="inlineStr">
        <is>
          <t>LD 06 BOMBE KAPAK PK/60AD KL/10PK</t>
        </is>
      </c>
      <c r="C63" t="inlineStr">
        <is>
          <t>AD</t>
        </is>
      </c>
      <c r="D63" t="n">
        <v>8</v>
      </c>
      <c r="E63" s="7" t="n">
        <v>46204</v>
      </c>
      <c r="F63" s="9" t="n">
        <v>1.7837</v>
      </c>
      <c r="G63" s="7" t="n">
        <v>46311</v>
      </c>
      <c r="H63" t="inlineStr">
        <is>
          <t>A00000000263306</t>
        </is>
      </c>
      <c r="I63" s="9" t="n">
        <v>1.8975</v>
      </c>
      <c r="J63" t="n">
        <v>3</v>
      </c>
      <c r="K63" s="7" t="n">
        <v>46311</v>
      </c>
      <c r="L63" t="inlineStr">
        <is>
          <t>Kur dönemi değişti (49→50)</t>
        </is>
      </c>
      <c r="M63" s="9" t="n">
        <v>0.03795</v>
      </c>
      <c r="N63" s="10">
        <f>I63/F63-1</f>
        <v/>
      </c>
    </row>
    <row r="64">
      <c r="A64" t="inlineStr">
        <is>
          <t>MTP076</t>
        </is>
      </c>
      <c r="B64" t="inlineStr">
        <is>
          <t>MC 06 MİNİ KAP 60 CC PP SİYAH</t>
        </is>
      </c>
      <c r="C64" t="inlineStr">
        <is>
          <t>AD</t>
        </is>
      </c>
      <c r="D64" t="n">
        <v>1</v>
      </c>
      <c r="E64" s="7" t="n">
        <v>46223</v>
      </c>
      <c r="F64" s="9" t="n">
        <v>4.7619</v>
      </c>
      <c r="G64" s="7" t="n">
        <v>46223</v>
      </c>
      <c r="H64" t="inlineStr">
        <is>
          <t>C00000000220903</t>
        </is>
      </c>
      <c r="I64" s="9" t="n">
        <v>4.7619</v>
      </c>
      <c r="J64" t="n">
        <v>0</v>
      </c>
      <c r="K64" s="7" t="n"/>
      <c r="L64" t="inlineStr">
        <is>
          <t>-</t>
        </is>
      </c>
      <c r="M64" s="9" t="n">
        <v>0.10417</v>
      </c>
      <c r="N64" s="10">
        <f>I64/F64-1</f>
        <v/>
      </c>
    </row>
    <row r="65">
      <c r="A65" t="inlineStr">
        <is>
          <t>MTP077</t>
        </is>
      </c>
      <c r="B65" t="inlineStr">
        <is>
          <t>MC 12 MİNİ KAP 120 CC PP SİYAH PK:25</t>
        </is>
      </c>
      <c r="C65" t="inlineStr">
        <is>
          <t>AD</t>
        </is>
      </c>
      <c r="D65" t="n">
        <v>1</v>
      </c>
      <c r="E65" s="7" t="n">
        <v>46223</v>
      </c>
      <c r="F65" s="9" t="n">
        <v>6.1905</v>
      </c>
      <c r="G65" s="7" t="n">
        <v>46223</v>
      </c>
      <c r="H65" t="inlineStr">
        <is>
          <t>C00000000220903</t>
        </is>
      </c>
      <c r="I65" s="9" t="n">
        <v>6.1905</v>
      </c>
      <c r="J65" t="n">
        <v>0</v>
      </c>
      <c r="K65" s="7" t="n"/>
      <c r="L65" t="inlineStr">
        <is>
          <t>-</t>
        </is>
      </c>
      <c r="M65" s="9" t="n">
        <v>0.13542</v>
      </c>
      <c r="N65" s="10">
        <f>I65/F65-1</f>
        <v/>
      </c>
    </row>
    <row r="66">
      <c r="A66" t="inlineStr">
        <is>
          <t>MTP089</t>
        </is>
      </c>
      <c r="B66" t="inlineStr">
        <is>
          <t>PP SOS KABI KAPAKLI 1 0Z 30 ML PK/50AD KL/20PK</t>
        </is>
      </c>
      <c r="C66" t="inlineStr">
        <is>
          <t>PK</t>
        </is>
      </c>
      <c r="D66" t="n">
        <v>3</v>
      </c>
      <c r="E66" s="7" t="n">
        <v>46228</v>
      </c>
      <c r="F66" s="9" t="n">
        <v>42.8571</v>
      </c>
      <c r="G66" s="7" t="n">
        <v>46296</v>
      </c>
      <c r="H66" t="inlineStr">
        <is>
          <t>A00000000261821</t>
        </is>
      </c>
      <c r="I66" s="9" t="n">
        <v>44.1</v>
      </c>
      <c r="J66" t="n">
        <v>2</v>
      </c>
      <c r="K66" s="7" t="n">
        <v>46296</v>
      </c>
      <c r="L66" t="inlineStr">
        <is>
          <t>Döviz (USD) liste fiyatı değişti</t>
        </is>
      </c>
      <c r="M66" s="9" t="n">
        <v>0.9</v>
      </c>
      <c r="N66" s="10">
        <f>I66/F66-1</f>
        <v/>
      </c>
    </row>
    <row r="67">
      <c r="A67" t="inlineStr">
        <is>
          <t>MTP090</t>
        </is>
      </c>
      <c r="B67" t="inlineStr">
        <is>
          <t>PP SOS KABI KAPAKLI 2 OZ 60 ML PK/50AD KL/20PK</t>
        </is>
      </c>
      <c r="C67" t="inlineStr">
        <is>
          <t>PK</t>
        </is>
      </c>
      <c r="D67" t="n">
        <v>2</v>
      </c>
      <c r="E67" s="7" t="n">
        <v>46206</v>
      </c>
      <c r="F67" s="9" t="n">
        <v>52</v>
      </c>
      <c r="G67" s="7" t="n">
        <v>46267</v>
      </c>
      <c r="H67" t="inlineStr">
        <is>
          <t>A00000000259302</t>
        </is>
      </c>
      <c r="I67" s="9" t="n">
        <v>57.33</v>
      </c>
      <c r="J67" t="n">
        <v>1</v>
      </c>
      <c r="K67" s="7" t="n">
        <v>46267</v>
      </c>
      <c r="L67" t="inlineStr">
        <is>
          <t>Kur 47→49 + döviz fiyatı değişti</t>
        </is>
      </c>
      <c r="M67" s="9" t="n">
        <v>1.17</v>
      </c>
      <c r="N67" s="10">
        <f>I67/F67-1</f>
        <v/>
      </c>
    </row>
    <row r="68">
      <c r="A68" t="inlineStr">
        <is>
          <t>MTP163</t>
        </is>
      </c>
      <c r="B68" t="inlineStr">
        <is>
          <t>DC 03 AYAKLI KASE 200 ML PK/30AD KL/20PK</t>
        </is>
      </c>
      <c r="C68" t="inlineStr">
        <is>
          <t>AD</t>
        </is>
      </c>
      <c r="D68" t="n">
        <v>11</v>
      </c>
      <c r="E68" s="7" t="n">
        <v>46204</v>
      </c>
      <c r="F68" s="9" t="n">
        <v>6.11</v>
      </c>
      <c r="G68" s="7" t="n">
        <v>46311</v>
      </c>
      <c r="H68" t="inlineStr">
        <is>
          <t>A00000000263306</t>
        </is>
      </c>
      <c r="I68" s="9" t="n">
        <v>6.5</v>
      </c>
      <c r="J68" t="n">
        <v>3</v>
      </c>
      <c r="K68" s="7" t="n">
        <v>46311</v>
      </c>
      <c r="L68" t="inlineStr">
        <is>
          <t>Kur dönemi değişti (49→50)</t>
        </is>
      </c>
      <c r="M68" s="9" t="n">
        <v>0.13</v>
      </c>
      <c r="N68" s="10">
        <f>I68/F68-1</f>
        <v/>
      </c>
    </row>
    <row r="69">
      <c r="A69" t="inlineStr">
        <is>
          <t>MTP219</t>
        </is>
      </c>
      <c r="B69" t="inlineStr">
        <is>
          <t>EMZİKLİ 95LİK KİLİTLİ PET KAPAK KL/1000</t>
        </is>
      </c>
      <c r="C69" t="inlineStr">
        <is>
          <t>AD</t>
        </is>
      </c>
      <c r="D69" t="n">
        <v>2</v>
      </c>
      <c r="E69" s="7" t="n">
        <v>46234</v>
      </c>
      <c r="F69" s="9" t="n">
        <v>1.44</v>
      </c>
      <c r="G69" s="7" t="n">
        <v>46235</v>
      </c>
      <c r="H69" t="inlineStr">
        <is>
          <t>A00000000257000</t>
        </is>
      </c>
      <c r="I69" s="9" t="n">
        <v>1.44</v>
      </c>
      <c r="J69" t="n">
        <v>0</v>
      </c>
      <c r="K69" s="7" t="n"/>
      <c r="L69" t="inlineStr">
        <is>
          <t>-</t>
        </is>
      </c>
      <c r="M69" s="9" t="n">
        <v>0.03</v>
      </c>
      <c r="N69" s="10">
        <f>I69/F69-1</f>
        <v/>
      </c>
    </row>
    <row r="70">
      <c r="A70" t="inlineStr">
        <is>
          <t>NKO678</t>
        </is>
      </c>
      <c r="B70" t="inlineStr">
        <is>
          <t>TURŞU POŞETİ  13 x 23 CM 12MİC PK/500AD KL/20 PK</t>
        </is>
      </c>
      <c r="C70" t="inlineStr">
        <is>
          <t>PK</t>
        </is>
      </c>
      <c r="D70" t="n">
        <v>1</v>
      </c>
      <c r="E70" s="7" t="n">
        <v>46311</v>
      </c>
      <c r="F70" s="9" t="n">
        <v>100</v>
      </c>
      <c r="G70" s="7" t="n">
        <v>46311</v>
      </c>
      <c r="H70" t="inlineStr">
        <is>
          <t>A00000000263306</t>
        </is>
      </c>
      <c r="I70" s="9" t="n">
        <v>100</v>
      </c>
      <c r="J70" t="n">
        <v>0</v>
      </c>
      <c r="K70" s="7" t="n"/>
      <c r="L70" t="inlineStr">
        <is>
          <t>-</t>
        </is>
      </c>
      <c r="M70" s="9" t="n"/>
      <c r="N70" s="10">
        <f>I70/F70-1</f>
        <v/>
      </c>
    </row>
    <row r="71">
      <c r="A71" t="inlineStr">
        <is>
          <t>OZT004</t>
        </is>
      </c>
      <c r="B71" t="inlineStr">
        <is>
          <t>POŞET OPP BANTLI 13X15CM PK/1000AD</t>
        </is>
      </c>
      <c r="C71" t="inlineStr">
        <is>
          <t>PK</t>
        </is>
      </c>
      <c r="D71" t="n">
        <v>1</v>
      </c>
      <c r="E71" s="7" t="n">
        <v>46255</v>
      </c>
      <c r="F71" s="9" t="n">
        <v>876.1905</v>
      </c>
      <c r="G71" s="7" t="n">
        <v>46255</v>
      </c>
      <c r="H71" t="inlineStr">
        <is>
          <t>M00000000257484</t>
        </is>
      </c>
      <c r="I71" s="9" t="n">
        <v>876.1905</v>
      </c>
      <c r="J71" t="n">
        <v>0</v>
      </c>
      <c r="K71" s="7" t="n"/>
      <c r="L71" t="inlineStr">
        <is>
          <t>-</t>
        </is>
      </c>
      <c r="M71" s="9" t="n">
        <v>19.16667</v>
      </c>
      <c r="N71" s="10">
        <f>I71/F71-1</f>
        <v/>
      </c>
    </row>
    <row r="72">
      <c r="A72" t="inlineStr">
        <is>
          <t>OZT006</t>
        </is>
      </c>
      <c r="B72" t="inlineStr">
        <is>
          <t>POŞET OPP BANTLI 12X20CM PK/1000AD</t>
        </is>
      </c>
      <c r="C72" t="inlineStr">
        <is>
          <t>PK</t>
        </is>
      </c>
      <c r="D72" t="n">
        <v>1</v>
      </c>
      <c r="E72" s="7" t="n">
        <v>46210</v>
      </c>
      <c r="F72" s="9" t="n">
        <v>908.98</v>
      </c>
      <c r="G72" s="7" t="n">
        <v>46210</v>
      </c>
      <c r="H72" t="inlineStr">
        <is>
          <t>A00000000255017</t>
        </is>
      </c>
      <c r="I72" s="9" t="n">
        <v>908.98</v>
      </c>
      <c r="J72" t="n">
        <v>0</v>
      </c>
      <c r="K72" s="7" t="n"/>
      <c r="L72" t="inlineStr">
        <is>
          <t>-</t>
        </is>
      </c>
      <c r="M72" s="9" t="n">
        <v>19.34</v>
      </c>
      <c r="N72" s="10">
        <f>I72/F72-1</f>
        <v/>
      </c>
    </row>
    <row r="73">
      <c r="A73" t="inlineStr">
        <is>
          <t>OZT007</t>
        </is>
      </c>
      <c r="B73" t="inlineStr">
        <is>
          <t>POŞET OPP BANTLI 15X30CM PK/1000AD</t>
        </is>
      </c>
      <c r="C73" t="inlineStr">
        <is>
          <t>PK</t>
        </is>
      </c>
      <c r="D73" t="n">
        <v>1</v>
      </c>
      <c r="E73" s="7" t="n">
        <v>46260</v>
      </c>
      <c r="F73" s="9" t="n">
        <v>1429.92</v>
      </c>
      <c r="G73" s="7" t="n">
        <v>46260</v>
      </c>
      <c r="H73" t="inlineStr">
        <is>
          <t>A00000000258910</t>
        </is>
      </c>
      <c r="I73" s="9" t="n">
        <v>1429.92</v>
      </c>
      <c r="J73" t="n">
        <v>0</v>
      </c>
      <c r="K73" s="7" t="n"/>
      <c r="L73" t="inlineStr">
        <is>
          <t>-</t>
        </is>
      </c>
      <c r="M73" s="9" t="n">
        <v>29.79</v>
      </c>
      <c r="N73" s="10">
        <f>I73/F73-1</f>
        <v/>
      </c>
    </row>
    <row r="74">
      <c r="A74" t="inlineStr">
        <is>
          <t>PCK00203</t>
        </is>
      </c>
      <c r="B74" t="inlineStr">
        <is>
          <t>PİŞİRME 40X60 TABAKA 500 ADETLİ DR PACK 5,24KG/PK</t>
        </is>
      </c>
      <c r="C74" t="inlineStr">
        <is>
          <t>PK</t>
        </is>
      </c>
      <c r="D74" t="n">
        <v>11</v>
      </c>
      <c r="E74" s="7" t="n">
        <v>46210</v>
      </c>
      <c r="F74" s="9" t="n">
        <v>1654.87</v>
      </c>
      <c r="G74" s="7" t="n">
        <v>46315</v>
      </c>
      <c r="H74" t="inlineStr">
        <is>
          <t>A00000000263385</t>
        </is>
      </c>
      <c r="I74" s="9" t="n">
        <v>1760.64</v>
      </c>
      <c r="J74" t="n">
        <v>3</v>
      </c>
      <c r="K74" s="7" t="n">
        <v>46315</v>
      </c>
      <c r="L74" t="inlineStr">
        <is>
          <t>Kur dönemi değişti (49→50)</t>
        </is>
      </c>
      <c r="M74" s="9" t="n">
        <v>35.2128</v>
      </c>
      <c r="N74" s="10">
        <f>I74/F74-1</f>
        <v/>
      </c>
    </row>
    <row r="75">
      <c r="A75" t="inlineStr">
        <is>
          <t>PCK00220</t>
        </is>
      </c>
      <c r="B75" t="inlineStr">
        <is>
          <t>NARİN SOURDOUGH 28X42 KL/5 KG</t>
        </is>
      </c>
      <c r="C75" t="inlineStr">
        <is>
          <t>KG</t>
        </is>
      </c>
      <c r="D75" t="n">
        <v>10</v>
      </c>
      <c r="E75" s="7" t="n">
        <v>46204</v>
      </c>
      <c r="F75" s="9" t="n">
        <v>320</v>
      </c>
      <c r="G75" s="7" t="n">
        <v>46308</v>
      </c>
      <c r="H75" t="inlineStr">
        <is>
          <t>A00000000262812</t>
        </is>
      </c>
      <c r="I75" s="9" t="n">
        <v>320</v>
      </c>
      <c r="J75" t="n">
        <v>0</v>
      </c>
      <c r="K75" s="7" t="n"/>
      <c r="L75" t="inlineStr">
        <is>
          <t>-</t>
        </is>
      </c>
      <c r="M75" s="9" t="n"/>
      <c r="N75" s="10">
        <f>I75/F75-1</f>
        <v/>
      </c>
    </row>
    <row r="76">
      <c r="A76" t="inlineStr">
        <is>
          <t>PCK0368</t>
        </is>
      </c>
      <c r="B76" t="inlineStr">
        <is>
          <t>NARİN BEYAZ YAĞLI KAĞIT 40X60</t>
        </is>
      </c>
      <c r="C76" t="inlineStr">
        <is>
          <t>KG</t>
        </is>
      </c>
      <c r="D76" t="n">
        <v>8</v>
      </c>
      <c r="E76" s="7" t="n">
        <v>46219</v>
      </c>
      <c r="F76" s="9" t="n">
        <v>320</v>
      </c>
      <c r="G76" s="7" t="n">
        <v>46315</v>
      </c>
      <c r="H76" t="inlineStr">
        <is>
          <t>A00000000263385</t>
        </is>
      </c>
      <c r="I76" s="9" t="n">
        <v>320</v>
      </c>
      <c r="J76" t="n">
        <v>0</v>
      </c>
      <c r="K76" s="7" t="n"/>
      <c r="L76" t="inlineStr">
        <is>
          <t>-</t>
        </is>
      </c>
      <c r="M76" s="9" t="n"/>
      <c r="N76" s="10">
        <f>I76/F76-1</f>
        <v/>
      </c>
    </row>
    <row r="77">
      <c r="A77" t="inlineStr">
        <is>
          <t>PCK10241</t>
        </is>
      </c>
      <c r="B77" t="inlineStr">
        <is>
          <t>NARİN YAĞLI KAĞIT 35X50</t>
        </is>
      </c>
      <c r="C77" t="inlineStr">
        <is>
          <t>KG</t>
        </is>
      </c>
      <c r="D77" t="n">
        <v>1</v>
      </c>
      <c r="E77" s="7" t="n">
        <v>46204</v>
      </c>
      <c r="F77" s="9" t="n">
        <v>356.73</v>
      </c>
      <c r="G77" s="7" t="n">
        <v>46204</v>
      </c>
      <c r="H77" t="inlineStr">
        <is>
          <t>A00000000254474</t>
        </is>
      </c>
      <c r="I77" s="9" t="n">
        <v>356.73</v>
      </c>
      <c r="J77" t="n">
        <v>0</v>
      </c>
      <c r="K77" s="7" t="n"/>
      <c r="L77" t="inlineStr">
        <is>
          <t>-</t>
        </is>
      </c>
      <c r="M77" s="9" t="n">
        <v>7.59</v>
      </c>
      <c r="N77" s="10">
        <f>I77/F77-1</f>
        <v/>
      </c>
    </row>
    <row r="78">
      <c r="A78" t="inlineStr">
        <is>
          <t>PCK1113</t>
        </is>
      </c>
      <c r="B78" t="inlineStr">
        <is>
          <t>ÇİZGİLİ ŞAMUA 40 X 60</t>
        </is>
      </c>
      <c r="C78" t="inlineStr">
        <is>
          <t>KG</t>
        </is>
      </c>
      <c r="D78" t="n">
        <v>11</v>
      </c>
      <c r="E78" s="7" t="n">
        <v>46204</v>
      </c>
      <c r="F78" s="9" t="n">
        <v>225.388</v>
      </c>
      <c r="G78" s="7" t="n">
        <v>46315</v>
      </c>
      <c r="H78" t="inlineStr">
        <is>
          <t>A00000000263385</t>
        </is>
      </c>
      <c r="I78" s="9" t="n">
        <v>220</v>
      </c>
      <c r="J78" t="n">
        <v>4</v>
      </c>
      <c r="K78" s="7" t="n">
        <v>46302</v>
      </c>
      <c r="L78" t="inlineStr">
        <is>
          <t>Döviz (USD) liste fiyatı değişti</t>
        </is>
      </c>
      <c r="M78" s="9" t="n">
        <v>4.4</v>
      </c>
      <c r="N78" s="10">
        <f>I78/F78-1</f>
        <v/>
      </c>
    </row>
    <row r="79">
      <c r="A79" t="inlineStr">
        <is>
          <t>PL001</t>
        </is>
      </c>
      <c r="B79" t="inlineStr">
        <is>
          <t>300 ML ŞEFFAF KARE PET ŞİŞE 19,5GR+KAPAK PK/50AD</t>
        </is>
      </c>
      <c r="C79" t="inlineStr">
        <is>
          <t>AD</t>
        </is>
      </c>
      <c r="D79" t="n">
        <v>11</v>
      </c>
      <c r="E79" s="7" t="n">
        <v>46204</v>
      </c>
      <c r="F79" s="9" t="n">
        <v>10.2225</v>
      </c>
      <c r="G79" s="7" t="n">
        <v>46315</v>
      </c>
      <c r="H79" t="inlineStr">
        <is>
          <t>A00000000263385</t>
        </is>
      </c>
      <c r="I79" s="9" t="n">
        <v>15.5</v>
      </c>
      <c r="J79" t="n">
        <v>5</v>
      </c>
      <c r="K79" s="7" t="n">
        <v>46308</v>
      </c>
      <c r="L79" t="inlineStr">
        <is>
          <t>Kur dönemi değişti (49→50)</t>
        </is>
      </c>
      <c r="M79" s="9" t="n">
        <v>0.31</v>
      </c>
      <c r="N79" s="10">
        <f>I79/F79-1</f>
        <v/>
      </c>
    </row>
    <row r="80">
      <c r="A80" t="inlineStr">
        <is>
          <t>PRNO01</t>
        </is>
      </c>
      <c r="B80" t="inlineStr">
        <is>
          <t>MATCHA POWDER CEREMONIAL TNK 100GR</t>
        </is>
      </c>
      <c r="C80" t="inlineStr">
        <is>
          <t>AD</t>
        </is>
      </c>
      <c r="D80" t="n">
        <v>9</v>
      </c>
      <c r="E80" s="7" t="n">
        <v>46204</v>
      </c>
      <c r="F80" s="9" t="n">
        <v>991.875</v>
      </c>
      <c r="G80" s="7" t="n">
        <v>46296</v>
      </c>
      <c r="H80" t="inlineStr">
        <is>
          <t>A00000000261821</t>
        </is>
      </c>
      <c r="I80" s="9" t="n">
        <v>991.8767</v>
      </c>
      <c r="J80" t="n">
        <v>0</v>
      </c>
      <c r="K80" s="7" t="n"/>
      <c r="L80" t="inlineStr">
        <is>
          <t>-</t>
        </is>
      </c>
      <c r="M80" s="9" t="n"/>
      <c r="N80" s="10">
        <f>I80/F80-1</f>
        <v/>
      </c>
    </row>
    <row r="81">
      <c r="A81" t="inlineStr">
        <is>
          <t>PTS030</t>
        </is>
      </c>
      <c r="B81" t="inlineStr">
        <is>
          <t>BİO PİPET BEYAZ 7X22  PK/250AD KL/20 PK</t>
        </is>
      </c>
      <c r="C81" t="inlineStr">
        <is>
          <t>PK</t>
        </is>
      </c>
      <c r="D81" t="n">
        <v>3</v>
      </c>
      <c r="E81" s="7" t="n">
        <v>46218</v>
      </c>
      <c r="F81" s="9" t="n">
        <v>276</v>
      </c>
      <c r="G81" s="7" t="n">
        <v>46252</v>
      </c>
      <c r="H81" t="inlineStr">
        <is>
          <t>A00000000258193</t>
        </is>
      </c>
      <c r="I81" s="9" t="n">
        <v>276</v>
      </c>
      <c r="J81" t="n">
        <v>0</v>
      </c>
      <c r="K81" s="7" t="n"/>
      <c r="L81" t="inlineStr">
        <is>
          <t>-</t>
        </is>
      </c>
      <c r="M81" s="9" t="n">
        <v>5.75</v>
      </c>
      <c r="N81" s="10">
        <f>I81/F81-1</f>
        <v/>
      </c>
    </row>
    <row r="82">
      <c r="A82" t="inlineStr">
        <is>
          <t>PTS038</t>
        </is>
      </c>
      <c r="B82" t="inlineStr">
        <is>
          <t>BİO PİPET BEYAZ 8X24 SARGILI PK/250AD KL/20</t>
        </is>
      </c>
      <c r="C82" t="inlineStr">
        <is>
          <t>PK</t>
        </is>
      </c>
      <c r="D82" t="n">
        <v>3</v>
      </c>
      <c r="E82" s="7" t="n">
        <v>46238</v>
      </c>
      <c r="F82" s="9" t="n">
        <v>276</v>
      </c>
      <c r="G82" s="7" t="n">
        <v>46296</v>
      </c>
      <c r="H82" t="inlineStr">
        <is>
          <t>A00000000261821</t>
        </is>
      </c>
      <c r="I82" s="9" t="n">
        <v>281.75</v>
      </c>
      <c r="J82" t="n">
        <v>1</v>
      </c>
      <c r="K82" s="7" t="n">
        <v>46274</v>
      </c>
      <c r="L82" t="inlineStr">
        <is>
          <t>Kur dönemi değişti (48→49)</t>
        </is>
      </c>
      <c r="M82" s="9" t="n">
        <v>5.75</v>
      </c>
      <c r="N82" s="10">
        <f>I82/F82-1</f>
        <v/>
      </c>
    </row>
    <row r="83">
      <c r="A83" t="inlineStr">
        <is>
          <t>RBK006</t>
        </is>
      </c>
      <c r="B83" t="inlineStr">
        <is>
          <t>KRİSTAL KARE KASE 300ML SB.D11 PK/12 KL/288 AD</t>
        </is>
      </c>
      <c r="C83" t="inlineStr">
        <is>
          <t>AD</t>
        </is>
      </c>
      <c r="D83" t="n">
        <v>12</v>
      </c>
      <c r="E83" s="7" t="n">
        <v>46204</v>
      </c>
      <c r="F83" s="9" t="n">
        <v>10.81</v>
      </c>
      <c r="G83" s="7" t="n">
        <v>46308</v>
      </c>
      <c r="H83" t="inlineStr">
        <is>
          <t>A00000000262812</t>
        </is>
      </c>
      <c r="I83" s="9" t="n">
        <v>11</v>
      </c>
      <c r="J83" t="n">
        <v>4</v>
      </c>
      <c r="K83" s="7" t="n">
        <v>46308</v>
      </c>
      <c r="L83" t="inlineStr">
        <is>
          <t>Kur dönemi değişti (49→50)</t>
        </is>
      </c>
      <c r="M83" s="9" t="n">
        <v>0.22</v>
      </c>
      <c r="N83" s="10">
        <f>I83/F83-1</f>
        <v/>
      </c>
    </row>
    <row r="84">
      <c r="A84" t="inlineStr">
        <is>
          <t>RBK007</t>
        </is>
      </c>
      <c r="B84" t="inlineStr">
        <is>
          <t>KARE KASE BOMBE KAPAK LD.D11 PK/48AD KL/12PK</t>
        </is>
      </c>
      <c r="C84" t="inlineStr">
        <is>
          <t>AD</t>
        </is>
      </c>
      <c r="D84" t="n">
        <v>11</v>
      </c>
      <c r="E84" s="7" t="n">
        <v>46204</v>
      </c>
      <c r="F84" s="9" t="n">
        <v>4.324</v>
      </c>
      <c r="G84" s="7" t="n">
        <v>46308</v>
      </c>
      <c r="H84" t="inlineStr">
        <is>
          <t>A00000000262812</t>
        </is>
      </c>
      <c r="I84" s="9" t="n">
        <v>4.5</v>
      </c>
      <c r="J84" t="n">
        <v>4</v>
      </c>
      <c r="K84" s="7" t="n">
        <v>46308</v>
      </c>
      <c r="L84" t="inlineStr">
        <is>
          <t>Kur dönemi değişti (49→50)</t>
        </is>
      </c>
      <c r="M84" s="9" t="n">
        <v>0.09</v>
      </c>
      <c r="N84" s="10">
        <f>I84/F84-1</f>
        <v/>
      </c>
    </row>
    <row r="85">
      <c r="A85" t="inlineStr">
        <is>
          <t>SLM014</t>
        </is>
      </c>
      <c r="B85" t="inlineStr">
        <is>
          <t>32 OZ  KRAFT 1000CC +KAPAK PK/50 KL/300</t>
        </is>
      </c>
      <c r="C85" t="inlineStr">
        <is>
          <t>AD</t>
        </is>
      </c>
      <c r="D85" t="n">
        <v>3</v>
      </c>
      <c r="E85" s="7" t="n">
        <v>46204</v>
      </c>
      <c r="F85" s="9" t="n">
        <v>9.164999999999999</v>
      </c>
      <c r="G85" s="7" t="n">
        <v>46224</v>
      </c>
      <c r="H85" t="inlineStr">
        <is>
          <t>A00000000256028</t>
        </is>
      </c>
      <c r="I85" s="9" t="n">
        <v>9.359999999999999</v>
      </c>
      <c r="J85" t="n">
        <v>1</v>
      </c>
      <c r="K85" s="7" t="n">
        <v>46224</v>
      </c>
      <c r="L85" t="inlineStr">
        <is>
          <t>Kur dönemi değişti (47→48)</t>
        </is>
      </c>
      <c r="M85" s="9" t="n">
        <v>0.195</v>
      </c>
      <c r="N85" s="10">
        <f>I85/F85-1</f>
        <v/>
      </c>
    </row>
    <row r="86">
      <c r="A86" t="inlineStr">
        <is>
          <t>SN001</t>
        </is>
      </c>
      <c r="B86" t="inlineStr">
        <is>
          <t>120 ALUMINYUM SÜTLAÇ KAP PK/100AD KL/30PK</t>
        </is>
      </c>
      <c r="C86" t="inlineStr">
        <is>
          <t>PK</t>
        </is>
      </c>
      <c r="D86" t="n">
        <v>1</v>
      </c>
      <c r="E86" s="7" t="n">
        <v>46260</v>
      </c>
      <c r="F86" s="9" t="n">
        <v>258.24</v>
      </c>
      <c r="G86" s="7" t="n">
        <v>46260</v>
      </c>
      <c r="H86" t="inlineStr">
        <is>
          <t>A00000000258910</t>
        </is>
      </c>
      <c r="I86" s="9" t="n">
        <v>258.24</v>
      </c>
      <c r="J86" t="n">
        <v>0</v>
      </c>
      <c r="K86" s="7" t="n"/>
      <c r="L86" t="inlineStr">
        <is>
          <t>-</t>
        </is>
      </c>
      <c r="M86" s="9" t="n">
        <v>5.38</v>
      </c>
      <c r="N86" s="10">
        <f>I86/F86-1</f>
        <v/>
      </c>
    </row>
    <row r="87">
      <c r="A87" t="inlineStr">
        <is>
          <t>SYM001</t>
        </is>
      </c>
      <c r="B87" t="inlineStr">
        <is>
          <t>PE ELDİVEN ŞEFFAF L PK/100 AD DR PACK KL/100 PKT</t>
        </is>
      </c>
      <c r="C87" t="inlineStr">
        <is>
          <t>PK</t>
        </is>
      </c>
      <c r="D87" t="n">
        <v>6</v>
      </c>
      <c r="E87" s="7" t="n">
        <v>46204</v>
      </c>
      <c r="F87" s="9" t="n">
        <v>36.5552</v>
      </c>
      <c r="G87" s="7" t="n">
        <v>46302</v>
      </c>
      <c r="H87" t="inlineStr">
        <is>
          <t>A00000000262235</t>
        </is>
      </c>
      <c r="I87" s="9" t="n">
        <v>35</v>
      </c>
      <c r="J87" t="n">
        <v>3</v>
      </c>
      <c r="K87" s="7" t="n">
        <v>46302</v>
      </c>
      <c r="L87" t="inlineStr">
        <is>
          <t>Döviz (USD) liste fiyatı değişti</t>
        </is>
      </c>
      <c r="M87" s="9" t="n">
        <v>0.71429</v>
      </c>
      <c r="N87" s="10">
        <f>I87/F87-1</f>
        <v/>
      </c>
    </row>
    <row r="88">
      <c r="A88" t="inlineStr">
        <is>
          <t>YLD003</t>
        </is>
      </c>
      <c r="B88" t="inlineStr">
        <is>
          <t>PAKET LASTİĞİ 7CM PK/500AD KL/60PK</t>
        </is>
      </c>
      <c r="C88" t="inlineStr">
        <is>
          <t>PK</t>
        </is>
      </c>
      <c r="D88" t="n">
        <v>1</v>
      </c>
      <c r="E88" s="7" t="n">
        <v>46267</v>
      </c>
      <c r="F88" s="9" t="n">
        <v>212.61</v>
      </c>
      <c r="G88" s="7" t="n">
        <v>46267</v>
      </c>
      <c r="H88" t="inlineStr">
        <is>
          <t>A00000000259302</t>
        </is>
      </c>
      <c r="I88" s="9" t="n">
        <v>212.61</v>
      </c>
      <c r="J88" t="n">
        <v>0</v>
      </c>
      <c r="K88" s="7" t="n"/>
      <c r="L88" t="inlineStr">
        <is>
          <t>-</t>
        </is>
      </c>
      <c r="M88" s="9" t="n">
        <v>4.33895</v>
      </c>
      <c r="N88" s="10">
        <f>I88/F88-1</f>
        <v/>
      </c>
    </row>
    <row r="89">
      <c r="A89" t="inlineStr">
        <is>
          <t>ZV002</t>
        </is>
      </c>
      <c r="B89" t="inlineStr">
        <is>
          <t>PİŞİRME KAĞIDI  40 X 60 (ZV) PK/5 KG</t>
        </is>
      </c>
      <c r="C89" t="inlineStr">
        <is>
          <t>KG</t>
        </is>
      </c>
      <c r="D89" t="n">
        <v>1</v>
      </c>
      <c r="E89" s="7" t="n">
        <v>46204</v>
      </c>
      <c r="F89" s="9" t="n">
        <v>434.7</v>
      </c>
      <c r="G89" s="7" t="n">
        <v>46204</v>
      </c>
      <c r="H89" t="inlineStr">
        <is>
          <t>A00000000254474</t>
        </is>
      </c>
      <c r="I89" s="9" t="n">
        <v>434.7</v>
      </c>
      <c r="J89" t="n">
        <v>0</v>
      </c>
      <c r="K89" s="7" t="n"/>
      <c r="L89" t="inlineStr">
        <is>
          <t>-</t>
        </is>
      </c>
      <c r="M89" s="9" t="n">
        <v>8.050000000000001</v>
      </c>
      <c r="N89" s="10">
        <f>I89/F89-1</f>
        <v/>
      </c>
    </row>
  </sheetData>
  <autoFilter ref="A1:N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pane xSplit="4" ySplit="1" topLeftCell="E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46" customWidth="1" min="4" max="4"/>
    <col width="9" customWidth="1" min="5" max="5"/>
    <col width="6" customWidth="1" min="6" max="6"/>
    <col width="11" customWidth="1" min="7" max="7"/>
    <col width="12" customWidth="1" min="8" max="8"/>
    <col width="13" customWidth="1" min="9" max="9"/>
    <col width="11" customWidth="1" min="10" max="10"/>
    <col width="8" customWidth="1" min="11" max="11"/>
    <col width="9" customWidth="1" min="12" max="12"/>
    <col width="45" customWidth="1" min="13" max="13"/>
  </cols>
  <sheetData>
    <row r="1" ht="42" customHeight="1">
      <c r="A1" s="6" t="inlineStr">
        <is>
          <t>Fatura Tarihi</t>
        </is>
      </c>
      <c r="B1" s="6" t="inlineStr">
        <is>
          <t>Fatura No</t>
        </is>
      </c>
      <c r="C1" s="6" t="inlineStr">
        <is>
          <t>Stok Kodu</t>
        </is>
      </c>
      <c r="D1" s="6" t="inlineStr">
        <is>
          <t>Stok Adı</t>
        </is>
      </c>
      <c r="E1" s="6" t="inlineStr">
        <is>
          <t>Miktar</t>
        </is>
      </c>
      <c r="F1" s="6" t="inlineStr">
        <is>
          <t>Birim</t>
        </is>
      </c>
      <c r="G1" s="6" t="inlineStr">
        <is>
          <t>Brüt Fiyat</t>
        </is>
      </c>
      <c r="H1" s="6" t="inlineStr">
        <is>
          <t>Net Fiyat</t>
        </is>
      </c>
      <c r="I1" s="6" t="inlineStr">
        <is>
          <t>Tutar</t>
        </is>
      </c>
      <c r="J1" s="6" t="inlineStr">
        <is>
          <t>Döviz Fiyat (USD)</t>
        </is>
      </c>
      <c r="K1" s="6" t="inlineStr">
        <is>
          <t>Dönem Kuru</t>
        </is>
      </c>
      <c r="L1" s="6" t="inlineStr">
        <is>
          <t>Net / USD</t>
        </is>
      </c>
      <c r="M1" s="6" t="inlineStr">
        <is>
          <t>Not</t>
        </is>
      </c>
    </row>
    <row r="2">
      <c r="A2" s="7" t="n">
        <v>46204</v>
      </c>
      <c r="B2" t="inlineStr">
        <is>
          <t>A00000000254474</t>
        </is>
      </c>
      <c r="C2" t="inlineStr">
        <is>
          <t>AL0036</t>
        </is>
      </c>
      <c r="D2" t="inlineStr">
        <is>
          <t>NARİN SAVORY 23X25 KESE KAĞIDI</t>
        </is>
      </c>
      <c r="E2" s="8" t="n">
        <v>30</v>
      </c>
      <c r="F2" t="inlineStr">
        <is>
          <t>KG</t>
        </is>
      </c>
      <c r="G2" s="9" t="n">
        <v>320</v>
      </c>
      <c r="H2" s="9" t="n">
        <v>320</v>
      </c>
      <c r="I2" s="12" t="n">
        <v>10080</v>
      </c>
      <c r="J2" s="9" t="n"/>
      <c r="K2" t="n">
        <v>47</v>
      </c>
      <c r="L2" s="15">
        <f>IF(J2="","",H2/J2)</f>
        <v/>
      </c>
      <c r="M2" t="inlineStr"/>
    </row>
    <row r="3">
      <c r="A3" s="7" t="n">
        <v>46218</v>
      </c>
      <c r="B3" t="inlineStr">
        <is>
          <t>A00000000255479</t>
        </is>
      </c>
      <c r="C3" t="inlineStr">
        <is>
          <t>AL0036</t>
        </is>
      </c>
      <c r="D3" t="inlineStr">
        <is>
          <t>NARİN SAVORY 23X25 KESE KAĞIDI</t>
        </is>
      </c>
      <c r="E3" s="8" t="n">
        <v>20</v>
      </c>
      <c r="F3" t="inlineStr">
        <is>
          <t>KG</t>
        </is>
      </c>
      <c r="G3" s="9" t="n">
        <v>320</v>
      </c>
      <c r="H3" s="9" t="n">
        <v>320</v>
      </c>
      <c r="I3" s="12" t="n">
        <v>6720</v>
      </c>
      <c r="J3" s="9" t="n"/>
      <c r="K3" t="n">
        <v>48</v>
      </c>
      <c r="L3" s="15">
        <f>IF(J3="","",H3/J3)</f>
        <v/>
      </c>
      <c r="M3" t="inlineStr"/>
    </row>
    <row r="4">
      <c r="A4" s="7" t="n">
        <v>46224</v>
      </c>
      <c r="B4" t="inlineStr">
        <is>
          <t>A00000000256028</t>
        </is>
      </c>
      <c r="C4" t="inlineStr">
        <is>
          <t>AL0036</t>
        </is>
      </c>
      <c r="D4" t="inlineStr">
        <is>
          <t>NARİN SAVORY 23X25 KESE KAĞIDI</t>
        </is>
      </c>
      <c r="E4" s="8" t="n">
        <v>10</v>
      </c>
      <c r="F4" t="inlineStr">
        <is>
          <t>KG</t>
        </is>
      </c>
      <c r="G4" s="9" t="n">
        <v>320</v>
      </c>
      <c r="H4" s="9" t="n">
        <v>320</v>
      </c>
      <c r="I4" s="12" t="n">
        <v>3360</v>
      </c>
      <c r="J4" s="9" t="n"/>
      <c r="K4" t="n">
        <v>48</v>
      </c>
      <c r="L4" s="15">
        <f>IF(J4="","",H4/J4)</f>
        <v/>
      </c>
      <c r="M4" t="inlineStr"/>
    </row>
    <row r="5">
      <c r="A5" s="7" t="n">
        <v>46231</v>
      </c>
      <c r="B5" t="inlineStr">
        <is>
          <t>A00000000256596</t>
        </is>
      </c>
      <c r="C5" t="inlineStr">
        <is>
          <t>AL0036</t>
        </is>
      </c>
      <c r="D5" t="inlineStr">
        <is>
          <t>NARİN SAVORY 23X25 KESE KAĞIDI</t>
        </is>
      </c>
      <c r="E5" s="8" t="n">
        <v>5</v>
      </c>
      <c r="F5" t="inlineStr">
        <is>
          <t>KG</t>
        </is>
      </c>
      <c r="G5" s="9" t="n">
        <v>320</v>
      </c>
      <c r="H5" s="9" t="n">
        <v>320</v>
      </c>
      <c r="I5" s="12" t="n">
        <v>1680</v>
      </c>
      <c r="J5" s="9" t="n"/>
      <c r="K5" t="n">
        <v>48</v>
      </c>
      <c r="L5" s="15">
        <f>IF(J5="","",H5/J5)</f>
        <v/>
      </c>
      <c r="M5" t="inlineStr"/>
    </row>
    <row r="6">
      <c r="A6" s="7" t="n">
        <v>46238</v>
      </c>
      <c r="B6" t="inlineStr">
        <is>
          <t>A00000000257116</t>
        </is>
      </c>
      <c r="C6" t="inlineStr">
        <is>
          <t>AL0036</t>
        </is>
      </c>
      <c r="D6" t="inlineStr">
        <is>
          <t>NARİN SAVORY 23X25 KESE KAĞIDI</t>
        </is>
      </c>
      <c r="E6" s="8" t="n">
        <v>5</v>
      </c>
      <c r="F6" t="inlineStr">
        <is>
          <t>KG</t>
        </is>
      </c>
      <c r="G6" s="9" t="n">
        <v>320</v>
      </c>
      <c r="H6" s="9" t="n">
        <v>320</v>
      </c>
      <c r="I6" s="12" t="n">
        <v>1680</v>
      </c>
      <c r="J6" s="9" t="n"/>
      <c r="K6" t="n">
        <v>48</v>
      </c>
      <c r="L6" s="15">
        <f>IF(J6="","",H6/J6)</f>
        <v/>
      </c>
      <c r="M6" t="inlineStr"/>
    </row>
    <row r="7">
      <c r="A7" s="7" t="n">
        <v>46254</v>
      </c>
      <c r="B7" t="inlineStr">
        <is>
          <t>A00000000258439</t>
        </is>
      </c>
      <c r="C7" t="inlineStr">
        <is>
          <t>AL0036</t>
        </is>
      </c>
      <c r="D7" t="inlineStr">
        <is>
          <t>NARİN SAVORY 23X25 KESE KAĞIDI</t>
        </is>
      </c>
      <c r="E7" s="8" t="n">
        <v>10</v>
      </c>
      <c r="F7" t="inlineStr">
        <is>
          <t>KG</t>
        </is>
      </c>
      <c r="G7" s="9" t="n">
        <v>320</v>
      </c>
      <c r="H7" s="9" t="n">
        <v>320</v>
      </c>
      <c r="I7" s="12" t="n">
        <v>3360</v>
      </c>
      <c r="J7" s="9" t="n"/>
      <c r="K7" t="n">
        <v>48</v>
      </c>
      <c r="L7" s="15">
        <f>IF(J7="","",H7/J7)</f>
        <v/>
      </c>
      <c r="M7" t="inlineStr"/>
    </row>
    <row r="8">
      <c r="A8" s="7" t="n">
        <v>46254</v>
      </c>
      <c r="B8" t="inlineStr">
        <is>
          <t>A00000000258458</t>
        </is>
      </c>
      <c r="C8" t="inlineStr">
        <is>
          <t>AL0036</t>
        </is>
      </c>
      <c r="D8" t="inlineStr">
        <is>
          <t>NARİN SAVORY 23X25 KESE KAĞIDI</t>
        </is>
      </c>
      <c r="E8" s="8" t="n">
        <v>10</v>
      </c>
      <c r="F8" t="inlineStr">
        <is>
          <t>KG</t>
        </is>
      </c>
      <c r="G8" s="9" t="n">
        <v>320</v>
      </c>
      <c r="H8" s="9" t="n">
        <v>320</v>
      </c>
      <c r="I8" s="12" t="n">
        <v>3360</v>
      </c>
      <c r="J8" s="9" t="n"/>
      <c r="K8" t="n">
        <v>48</v>
      </c>
      <c r="L8" s="15">
        <f>IF(J8="","",H8/J8)</f>
        <v/>
      </c>
      <c r="M8" t="inlineStr"/>
    </row>
    <row r="9">
      <c r="A9" s="7" t="n">
        <v>46261</v>
      </c>
      <c r="B9" t="inlineStr">
        <is>
          <t>A00000000258961</t>
        </is>
      </c>
      <c r="C9" t="inlineStr">
        <is>
          <t>AL0036</t>
        </is>
      </c>
      <c r="D9" t="inlineStr">
        <is>
          <t>NARİN SAVORY 23X25 KESE KAĞIDI</t>
        </is>
      </c>
      <c r="E9" s="8" t="n">
        <v>20</v>
      </c>
      <c r="F9" t="inlineStr">
        <is>
          <t>KG</t>
        </is>
      </c>
      <c r="G9" s="9" t="n">
        <v>320</v>
      </c>
      <c r="H9" s="9" t="n">
        <v>320</v>
      </c>
      <c r="I9" s="12" t="n">
        <v>6720</v>
      </c>
      <c r="J9" s="9" t="n"/>
      <c r="K9" t="n">
        <v>48</v>
      </c>
      <c r="L9" s="15">
        <f>IF(J9="","",H9/J9)</f>
        <v/>
      </c>
      <c r="M9" t="inlineStr"/>
    </row>
    <row r="10">
      <c r="A10" s="7" t="n">
        <v>46261</v>
      </c>
      <c r="B10" t="inlineStr">
        <is>
          <t>A00000000259004</t>
        </is>
      </c>
      <c r="C10" t="inlineStr">
        <is>
          <t>AL0036</t>
        </is>
      </c>
      <c r="D10" t="inlineStr">
        <is>
          <t>NARİN SAVORY 23X25 KESE KAĞIDI</t>
        </is>
      </c>
      <c r="E10" s="8" t="n">
        <v>5</v>
      </c>
      <c r="F10" t="inlineStr">
        <is>
          <t>KG</t>
        </is>
      </c>
      <c r="G10" s="9" t="n">
        <v>320</v>
      </c>
      <c r="H10" s="9" t="n">
        <v>320</v>
      </c>
      <c r="I10" s="12" t="n">
        <v>1680</v>
      </c>
      <c r="J10" s="9" t="n"/>
      <c r="K10" t="n">
        <v>48</v>
      </c>
      <c r="L10" s="15">
        <f>IF(J10="","",H10/J10)</f>
        <v/>
      </c>
      <c r="M10" t="inlineStr"/>
    </row>
    <row r="11">
      <c r="A11" s="7" t="n">
        <v>46263</v>
      </c>
      <c r="B11" t="inlineStr">
        <is>
          <t>A00000000259129</t>
        </is>
      </c>
      <c r="C11" t="inlineStr">
        <is>
          <t>AL0036</t>
        </is>
      </c>
      <c r="D11" t="inlineStr">
        <is>
          <t>NARİN SAVORY 23X25 KESE KAĞIDI</t>
        </is>
      </c>
      <c r="E11" s="8" t="n">
        <v>20</v>
      </c>
      <c r="F11" t="inlineStr">
        <is>
          <t>KG</t>
        </is>
      </c>
      <c r="G11" s="9" t="n">
        <v>320</v>
      </c>
      <c r="H11" s="9" t="n">
        <v>320</v>
      </c>
      <c r="I11" s="12" t="n">
        <v>6720</v>
      </c>
      <c r="J11" s="9" t="n"/>
      <c r="K11" t="n">
        <v>48</v>
      </c>
      <c r="L11" s="15">
        <f>IF(J11="","",H11/J11)</f>
        <v/>
      </c>
      <c r="M11" t="inlineStr"/>
    </row>
    <row r="12">
      <c r="A12" s="7" t="n">
        <v>46267</v>
      </c>
      <c r="B12" t="inlineStr">
        <is>
          <t>A00000000259302</t>
        </is>
      </c>
      <c r="C12" t="inlineStr">
        <is>
          <t>AL0036</t>
        </is>
      </c>
      <c r="D12" t="inlineStr">
        <is>
          <t>NARİN SAVORY 23X25 KESE KAĞIDI</t>
        </is>
      </c>
      <c r="E12" s="8" t="n">
        <v>15</v>
      </c>
      <c r="F12" t="inlineStr">
        <is>
          <t>KG</t>
        </is>
      </c>
      <c r="G12" s="9" t="n">
        <v>320</v>
      </c>
      <c r="H12" s="9" t="n">
        <v>320</v>
      </c>
      <c r="I12" s="12" t="n">
        <v>5040</v>
      </c>
      <c r="J12" s="9" t="n"/>
      <c r="K12" t="n">
        <v>49</v>
      </c>
      <c r="L12" s="15">
        <f>IF(J12="","",H12/J12)</f>
        <v/>
      </c>
      <c r="M12" t="inlineStr"/>
    </row>
    <row r="13">
      <c r="A13" s="7" t="n">
        <v>46281</v>
      </c>
      <c r="B13" t="inlineStr">
        <is>
          <t>A00000000260500</t>
        </is>
      </c>
      <c r="C13" t="inlineStr">
        <is>
          <t>AL0036</t>
        </is>
      </c>
      <c r="D13" t="inlineStr">
        <is>
          <t>NARİN SAVORY 23X25 KESE KAĞIDI</t>
        </is>
      </c>
      <c r="E13" s="8" t="n">
        <v>10</v>
      </c>
      <c r="F13" t="inlineStr">
        <is>
          <t>KG</t>
        </is>
      </c>
      <c r="G13" s="9" t="n">
        <v>320</v>
      </c>
      <c r="H13" s="9" t="n">
        <v>320</v>
      </c>
      <c r="I13" s="12" t="n">
        <v>3360</v>
      </c>
      <c r="J13" s="9" t="n"/>
      <c r="K13" t="n">
        <v>49</v>
      </c>
      <c r="L13" s="15">
        <f>IF(J13="","",H13/J13)</f>
        <v/>
      </c>
      <c r="M13" t="inlineStr"/>
    </row>
    <row r="14">
      <c r="A14" s="7" t="n">
        <v>46296</v>
      </c>
      <c r="B14" t="inlineStr">
        <is>
          <t>A00000000261821</t>
        </is>
      </c>
      <c r="C14" t="inlineStr">
        <is>
          <t>AL0036</t>
        </is>
      </c>
      <c r="D14" t="inlineStr">
        <is>
          <t>NARİN SAVORY 23X25 KESE KAĞIDI</t>
        </is>
      </c>
      <c r="E14" s="8" t="n">
        <v>5</v>
      </c>
      <c r="F14" t="inlineStr">
        <is>
          <t>KG</t>
        </is>
      </c>
      <c r="G14" s="9" t="n">
        <v>320</v>
      </c>
      <c r="H14" s="9" t="n">
        <v>320</v>
      </c>
      <c r="I14" s="12" t="n">
        <v>1680</v>
      </c>
      <c r="J14" s="9" t="n"/>
      <c r="K14" t="n">
        <v>49</v>
      </c>
      <c r="L14" s="15">
        <f>IF(J14="","",H14/J14)</f>
        <v/>
      </c>
      <c r="M14" t="inlineStr"/>
    </row>
    <row r="15">
      <c r="A15" s="7" t="n">
        <v>46302</v>
      </c>
      <c r="B15" t="inlineStr">
        <is>
          <t>A00000000262235</t>
        </is>
      </c>
      <c r="C15" t="inlineStr">
        <is>
          <t>AL0036</t>
        </is>
      </c>
      <c r="D15" t="inlineStr">
        <is>
          <t>NARİN SAVORY 23X25 KESE KAĞIDI</t>
        </is>
      </c>
      <c r="E15" s="8" t="n">
        <v>20</v>
      </c>
      <c r="F15" t="inlineStr">
        <is>
          <t>KG</t>
        </is>
      </c>
      <c r="G15" s="9" t="n">
        <v>320</v>
      </c>
      <c r="H15" s="9" t="n">
        <v>320</v>
      </c>
      <c r="I15" s="12" t="n">
        <v>6720</v>
      </c>
      <c r="J15" s="9" t="n"/>
      <c r="K15" t="n">
        <v>49</v>
      </c>
      <c r="L15" s="15">
        <f>IF(J15="","",H15/J15)</f>
        <v/>
      </c>
      <c r="M15" t="inlineStr"/>
    </row>
    <row r="16">
      <c r="A16" s="7" t="n">
        <v>46308</v>
      </c>
      <c r="B16" t="inlineStr">
        <is>
          <t>A00000000262812</t>
        </is>
      </c>
      <c r="C16" t="inlineStr">
        <is>
          <t>AL0036</t>
        </is>
      </c>
      <c r="D16" t="inlineStr">
        <is>
          <t>NARİN SAVORY 23X25 KESE KAĞIDI</t>
        </is>
      </c>
      <c r="E16" s="8" t="n">
        <v>20</v>
      </c>
      <c r="F16" t="inlineStr">
        <is>
          <t>KG</t>
        </is>
      </c>
      <c r="G16" s="9" t="n">
        <v>320</v>
      </c>
      <c r="H16" s="9" t="n">
        <v>320</v>
      </c>
      <c r="I16" s="12" t="n">
        <v>6720</v>
      </c>
      <c r="J16" s="9" t="n"/>
      <c r="K16" t="n">
        <v>50</v>
      </c>
      <c r="L16" s="15">
        <f>IF(J16="","",H16/J16)</f>
        <v/>
      </c>
      <c r="M16" t="inlineStr"/>
    </row>
    <row r="17">
      <c r="A17" s="7" t="n">
        <v>46204</v>
      </c>
      <c r="B17" t="inlineStr">
        <is>
          <t>A00000000254474</t>
        </is>
      </c>
      <c r="C17" t="inlineStr">
        <is>
          <t>AL0037</t>
        </is>
      </c>
      <c r="D17" t="inlineStr">
        <is>
          <t>NARİN CROISSANT 23X32 KESE KAĞIDI</t>
        </is>
      </c>
      <c r="E17" s="8" t="n">
        <v>30</v>
      </c>
      <c r="F17" t="inlineStr">
        <is>
          <t>KG</t>
        </is>
      </c>
      <c r="G17" s="9" t="n">
        <v>320</v>
      </c>
      <c r="H17" s="9" t="n">
        <v>320</v>
      </c>
      <c r="I17" s="12" t="n">
        <v>10080</v>
      </c>
      <c r="J17" s="9" t="n"/>
      <c r="K17" t="n">
        <v>47</v>
      </c>
      <c r="L17" s="15">
        <f>IF(J17="","",H17/J17)</f>
        <v/>
      </c>
      <c r="M17" t="inlineStr"/>
    </row>
    <row r="18">
      <c r="A18" s="7" t="n">
        <v>46210</v>
      </c>
      <c r="B18" t="inlineStr">
        <is>
          <t>A00000000255017</t>
        </is>
      </c>
      <c r="C18" t="inlineStr">
        <is>
          <t>AL0037</t>
        </is>
      </c>
      <c r="D18" t="inlineStr">
        <is>
          <t>NARİN CROISSANT 23X32 KESE KAĞIDI</t>
        </is>
      </c>
      <c r="E18" s="8" t="n">
        <v>15</v>
      </c>
      <c r="F18" t="inlineStr">
        <is>
          <t>KG</t>
        </is>
      </c>
      <c r="G18" s="9" t="n">
        <v>320</v>
      </c>
      <c r="H18" s="9" t="n">
        <v>320</v>
      </c>
      <c r="I18" s="12" t="n">
        <v>5040</v>
      </c>
      <c r="J18" s="9" t="n"/>
      <c r="K18" t="n">
        <v>47</v>
      </c>
      <c r="L18" s="15">
        <f>IF(J18="","",H18/J18)</f>
        <v/>
      </c>
      <c r="M18" t="inlineStr"/>
    </row>
    <row r="19">
      <c r="A19" s="7" t="n">
        <v>46218</v>
      </c>
      <c r="B19" t="inlineStr">
        <is>
          <t>A00000000255479</t>
        </is>
      </c>
      <c r="C19" t="inlineStr">
        <is>
          <t>AL0037</t>
        </is>
      </c>
      <c r="D19" t="inlineStr">
        <is>
          <t>NARİN CROISSANT 23X32 KESE KAĞIDI</t>
        </is>
      </c>
      <c r="E19" s="8" t="n">
        <v>15</v>
      </c>
      <c r="F19" t="inlineStr">
        <is>
          <t>KG</t>
        </is>
      </c>
      <c r="G19" s="9" t="n">
        <v>320</v>
      </c>
      <c r="H19" s="9" t="n">
        <v>320</v>
      </c>
      <c r="I19" s="12" t="n">
        <v>5040</v>
      </c>
      <c r="J19" s="9" t="n"/>
      <c r="K19" t="n">
        <v>48</v>
      </c>
      <c r="L19" s="15">
        <f>IF(J19="","",H19/J19)</f>
        <v/>
      </c>
      <c r="M19" t="inlineStr"/>
    </row>
    <row r="20">
      <c r="A20" s="7" t="n">
        <v>46224</v>
      </c>
      <c r="B20" t="inlineStr">
        <is>
          <t>A00000000256028</t>
        </is>
      </c>
      <c r="C20" t="inlineStr">
        <is>
          <t>AL0037</t>
        </is>
      </c>
      <c r="D20" t="inlineStr">
        <is>
          <t>NARİN CROISSANT 23X32 KESE KAĞIDI</t>
        </is>
      </c>
      <c r="E20" s="8" t="n">
        <v>10</v>
      </c>
      <c r="F20" t="inlineStr">
        <is>
          <t>KG</t>
        </is>
      </c>
      <c r="G20" s="9" t="n">
        <v>320</v>
      </c>
      <c r="H20" s="9" t="n">
        <v>320</v>
      </c>
      <c r="I20" s="12" t="n">
        <v>3360</v>
      </c>
      <c r="J20" s="9" t="n"/>
      <c r="K20" t="n">
        <v>48</v>
      </c>
      <c r="L20" s="15">
        <f>IF(J20="","",H20/J20)</f>
        <v/>
      </c>
      <c r="M20" t="inlineStr"/>
    </row>
    <row r="21">
      <c r="A21" s="7" t="n">
        <v>46231</v>
      </c>
      <c r="B21" t="inlineStr">
        <is>
          <t>A00000000256596</t>
        </is>
      </c>
      <c r="C21" t="inlineStr">
        <is>
          <t>AL0037</t>
        </is>
      </c>
      <c r="D21" t="inlineStr">
        <is>
          <t>NARİN CROISSANT 23X32 KESE KAĞIDI</t>
        </is>
      </c>
      <c r="E21" s="8" t="n">
        <v>15</v>
      </c>
      <c r="F21" t="inlineStr">
        <is>
          <t>KG</t>
        </is>
      </c>
      <c r="G21" s="9" t="n">
        <v>320</v>
      </c>
      <c r="H21" s="9" t="n">
        <v>320</v>
      </c>
      <c r="I21" s="12" t="n">
        <v>5040</v>
      </c>
      <c r="J21" s="9" t="n"/>
      <c r="K21" t="n">
        <v>48</v>
      </c>
      <c r="L21" s="15">
        <f>IF(J21="","",H21/J21)</f>
        <v/>
      </c>
      <c r="M21" t="inlineStr"/>
    </row>
    <row r="22">
      <c r="A22" s="7" t="n">
        <v>46238</v>
      </c>
      <c r="B22" t="inlineStr">
        <is>
          <t>A00000000257116</t>
        </is>
      </c>
      <c r="C22" t="inlineStr">
        <is>
          <t>AL0037</t>
        </is>
      </c>
      <c r="D22" t="inlineStr">
        <is>
          <t>NARİN CROISSANT 23X32 KESE KAĞIDI</t>
        </is>
      </c>
      <c r="E22" s="8" t="n">
        <v>20</v>
      </c>
      <c r="F22" t="inlineStr">
        <is>
          <t>KG</t>
        </is>
      </c>
      <c r="G22" s="9" t="n">
        <v>320</v>
      </c>
      <c r="H22" s="9" t="n">
        <v>320</v>
      </c>
      <c r="I22" s="12" t="n">
        <v>6720</v>
      </c>
      <c r="J22" s="9" t="n"/>
      <c r="K22" t="n">
        <v>48</v>
      </c>
      <c r="L22" s="15">
        <f>IF(J22="","",H22/J22)</f>
        <v/>
      </c>
      <c r="M22" t="inlineStr"/>
    </row>
    <row r="23">
      <c r="A23" s="7" t="n">
        <v>46245</v>
      </c>
      <c r="B23" t="inlineStr">
        <is>
          <t>A00000000257722</t>
        </is>
      </c>
      <c r="C23" t="inlineStr">
        <is>
          <t>AL0037</t>
        </is>
      </c>
      <c r="D23" t="inlineStr">
        <is>
          <t>NARİN CROISSANT 23X32 KESE KAĞIDI</t>
        </is>
      </c>
      <c r="E23" s="8" t="n">
        <v>15</v>
      </c>
      <c r="F23" t="inlineStr">
        <is>
          <t>KG</t>
        </is>
      </c>
      <c r="G23" s="9" t="n">
        <v>320</v>
      </c>
      <c r="H23" s="9" t="n">
        <v>320</v>
      </c>
      <c r="I23" s="12" t="n">
        <v>5040</v>
      </c>
      <c r="J23" s="9" t="n"/>
      <c r="K23" t="n">
        <v>48</v>
      </c>
      <c r="L23" s="15">
        <f>IF(J23="","",H23/J23)</f>
        <v/>
      </c>
      <c r="M23" t="inlineStr"/>
    </row>
    <row r="24">
      <c r="A24" s="7" t="n">
        <v>46254</v>
      </c>
      <c r="B24" t="inlineStr">
        <is>
          <t>A00000000258439</t>
        </is>
      </c>
      <c r="C24" t="inlineStr">
        <is>
          <t>AL0037</t>
        </is>
      </c>
      <c r="D24" t="inlineStr">
        <is>
          <t>NARİN CROISSANT 23X32 KESE KAĞIDI</t>
        </is>
      </c>
      <c r="E24" s="8" t="n">
        <v>10</v>
      </c>
      <c r="F24" t="inlineStr">
        <is>
          <t>KG</t>
        </is>
      </c>
      <c r="G24" s="9" t="n">
        <v>320</v>
      </c>
      <c r="H24" s="9" t="n">
        <v>320</v>
      </c>
      <c r="I24" s="12" t="n">
        <v>3360</v>
      </c>
      <c r="J24" s="9" t="n"/>
      <c r="K24" t="n">
        <v>48</v>
      </c>
      <c r="L24" s="15">
        <f>IF(J24="","",H24/J24)</f>
        <v/>
      </c>
      <c r="M24" t="inlineStr"/>
    </row>
    <row r="25">
      <c r="A25" s="7" t="n">
        <v>46254</v>
      </c>
      <c r="B25" t="inlineStr">
        <is>
          <t>A00000000258458</t>
        </is>
      </c>
      <c r="C25" t="inlineStr">
        <is>
          <t>AL0037</t>
        </is>
      </c>
      <c r="D25" t="inlineStr">
        <is>
          <t>NARİN CROISSANT 23X32 KESE KAĞIDI</t>
        </is>
      </c>
      <c r="E25" s="8" t="n">
        <v>10</v>
      </c>
      <c r="F25" t="inlineStr">
        <is>
          <t>KG</t>
        </is>
      </c>
      <c r="G25" s="9" t="n">
        <v>320</v>
      </c>
      <c r="H25" s="9" t="n">
        <v>320</v>
      </c>
      <c r="I25" s="12" t="n">
        <v>3360</v>
      </c>
      <c r="J25" s="9" t="n"/>
      <c r="K25" t="n">
        <v>48</v>
      </c>
      <c r="L25" s="15">
        <f>IF(J25="","",H25/J25)</f>
        <v/>
      </c>
      <c r="M25" t="inlineStr"/>
    </row>
    <row r="26">
      <c r="A26" s="7" t="n">
        <v>46261</v>
      </c>
      <c r="B26" t="inlineStr">
        <is>
          <t>A00000000258961</t>
        </is>
      </c>
      <c r="C26" t="inlineStr">
        <is>
          <t>AL0037</t>
        </is>
      </c>
      <c r="D26" t="inlineStr">
        <is>
          <t>NARİN CROISSANT 23X32 KESE KAĞIDI</t>
        </is>
      </c>
      <c r="E26" s="8" t="n">
        <v>20</v>
      </c>
      <c r="F26" t="inlineStr">
        <is>
          <t>KG</t>
        </is>
      </c>
      <c r="G26" s="9" t="n">
        <v>320</v>
      </c>
      <c r="H26" s="9" t="n">
        <v>320</v>
      </c>
      <c r="I26" s="12" t="n">
        <v>6720</v>
      </c>
      <c r="J26" s="9" t="n"/>
      <c r="K26" t="n">
        <v>48</v>
      </c>
      <c r="L26" s="15">
        <f>IF(J26="","",H26/J26)</f>
        <v/>
      </c>
      <c r="M26" t="inlineStr"/>
    </row>
    <row r="27">
      <c r="A27" s="7" t="n">
        <v>46261</v>
      </c>
      <c r="B27" t="inlineStr">
        <is>
          <t>A00000000259004</t>
        </is>
      </c>
      <c r="C27" t="inlineStr">
        <is>
          <t>AL0037</t>
        </is>
      </c>
      <c r="D27" t="inlineStr">
        <is>
          <t>NARİN CROISSANT 23X32 KESE KAĞIDI</t>
        </is>
      </c>
      <c r="E27" s="8" t="n">
        <v>5</v>
      </c>
      <c r="F27" t="inlineStr">
        <is>
          <t>KG</t>
        </is>
      </c>
      <c r="G27" s="9" t="n">
        <v>320</v>
      </c>
      <c r="H27" s="9" t="n">
        <v>320</v>
      </c>
      <c r="I27" s="12" t="n">
        <v>1680</v>
      </c>
      <c r="J27" s="9" t="n"/>
      <c r="K27" t="n">
        <v>48</v>
      </c>
      <c r="L27" s="15">
        <f>IF(J27="","",H27/J27)</f>
        <v/>
      </c>
      <c r="M27" t="inlineStr"/>
    </row>
    <row r="28">
      <c r="A28" s="7" t="n">
        <v>46263</v>
      </c>
      <c r="B28" t="inlineStr">
        <is>
          <t>A00000000259129</t>
        </is>
      </c>
      <c r="C28" t="inlineStr">
        <is>
          <t>AL0037</t>
        </is>
      </c>
      <c r="D28" t="inlineStr">
        <is>
          <t>NARİN CROISSANT 23X32 KESE KAĞIDI</t>
        </is>
      </c>
      <c r="E28" s="8" t="n">
        <v>20</v>
      </c>
      <c r="F28" t="inlineStr">
        <is>
          <t>KG</t>
        </is>
      </c>
      <c r="G28" s="9" t="n">
        <v>320</v>
      </c>
      <c r="H28" s="9" t="n">
        <v>320</v>
      </c>
      <c r="I28" s="12" t="n">
        <v>6720</v>
      </c>
      <c r="J28" s="9" t="n"/>
      <c r="K28" t="n">
        <v>48</v>
      </c>
      <c r="L28" s="15">
        <f>IF(J28="","",H28/J28)</f>
        <v/>
      </c>
      <c r="M28" t="inlineStr"/>
    </row>
    <row r="29">
      <c r="A29" s="7" t="n">
        <v>46267</v>
      </c>
      <c r="B29" t="inlineStr">
        <is>
          <t>A00000000259302</t>
        </is>
      </c>
      <c r="C29" t="inlineStr">
        <is>
          <t>AL0037</t>
        </is>
      </c>
      <c r="D29" t="inlineStr">
        <is>
          <t>NARİN CROISSANT 23X32 KESE KAĞIDI</t>
        </is>
      </c>
      <c r="E29" s="8" t="n">
        <v>15</v>
      </c>
      <c r="F29" t="inlineStr">
        <is>
          <t>KG</t>
        </is>
      </c>
      <c r="G29" s="9" t="n">
        <v>320</v>
      </c>
      <c r="H29" s="9" t="n">
        <v>320</v>
      </c>
      <c r="I29" s="12" t="n">
        <v>5040</v>
      </c>
      <c r="J29" s="9" t="n"/>
      <c r="K29" t="n">
        <v>49</v>
      </c>
      <c r="L29" s="15">
        <f>IF(J29="","",H29/J29)</f>
        <v/>
      </c>
      <c r="M29" t="inlineStr"/>
    </row>
    <row r="30">
      <c r="A30" s="7" t="n">
        <v>46281</v>
      </c>
      <c r="B30" t="inlineStr">
        <is>
          <t>A00000000260500</t>
        </is>
      </c>
      <c r="C30" t="inlineStr">
        <is>
          <t>AL0037</t>
        </is>
      </c>
      <c r="D30" t="inlineStr">
        <is>
          <t>NARİN CROISSANT 23X32 KESE KAĞIDI</t>
        </is>
      </c>
      <c r="E30" s="8" t="n">
        <v>10</v>
      </c>
      <c r="F30" t="inlineStr">
        <is>
          <t>KG</t>
        </is>
      </c>
      <c r="G30" s="9" t="n">
        <v>320</v>
      </c>
      <c r="H30" s="9" t="n">
        <v>320</v>
      </c>
      <c r="I30" s="12" t="n">
        <v>3360</v>
      </c>
      <c r="J30" s="9" t="n"/>
      <c r="K30" t="n">
        <v>49</v>
      </c>
      <c r="L30" s="15">
        <f>IF(J30="","",H30/J30)</f>
        <v/>
      </c>
      <c r="M30" t="inlineStr"/>
    </row>
    <row r="31">
      <c r="A31" s="7" t="n">
        <v>46296</v>
      </c>
      <c r="B31" t="inlineStr">
        <is>
          <t>A00000000261821</t>
        </is>
      </c>
      <c r="C31" t="inlineStr">
        <is>
          <t>AL0037</t>
        </is>
      </c>
      <c r="D31" t="inlineStr">
        <is>
          <t>NARİN CROISSANT 23X32 KESE KAĞIDI</t>
        </is>
      </c>
      <c r="E31" s="8" t="n">
        <v>35</v>
      </c>
      <c r="F31" t="inlineStr">
        <is>
          <t>KG</t>
        </is>
      </c>
      <c r="G31" s="9" t="n">
        <v>320</v>
      </c>
      <c r="H31" s="9" t="n">
        <v>320</v>
      </c>
      <c r="I31" s="12" t="n">
        <v>11760</v>
      </c>
      <c r="J31" s="9" t="n"/>
      <c r="K31" t="n">
        <v>49</v>
      </c>
      <c r="L31" s="15">
        <f>IF(J31="","",H31/J31)</f>
        <v/>
      </c>
      <c r="M31" t="inlineStr"/>
    </row>
    <row r="32">
      <c r="A32" s="7" t="n">
        <v>46302</v>
      </c>
      <c r="B32" t="inlineStr">
        <is>
          <t>A00000000262235</t>
        </is>
      </c>
      <c r="C32" t="inlineStr">
        <is>
          <t>AL0037</t>
        </is>
      </c>
      <c r="D32" t="inlineStr">
        <is>
          <t>NARİN CROISSANT 23X32 KESE KAĞIDI</t>
        </is>
      </c>
      <c r="E32" s="8" t="n">
        <v>20</v>
      </c>
      <c r="F32" t="inlineStr">
        <is>
          <t>KG</t>
        </is>
      </c>
      <c r="G32" s="9" t="n">
        <v>320</v>
      </c>
      <c r="H32" s="9" t="n">
        <v>320</v>
      </c>
      <c r="I32" s="12" t="n">
        <v>6720</v>
      </c>
      <c r="J32" s="9" t="n"/>
      <c r="K32" t="n">
        <v>49</v>
      </c>
      <c r="L32" s="15">
        <f>IF(J32="","",H32/J32)</f>
        <v/>
      </c>
      <c r="M32" t="inlineStr"/>
    </row>
    <row r="33">
      <c r="A33" s="7" t="n">
        <v>46308</v>
      </c>
      <c r="B33" t="inlineStr">
        <is>
          <t>A00000000262812</t>
        </is>
      </c>
      <c r="C33" t="inlineStr">
        <is>
          <t>AL0037</t>
        </is>
      </c>
      <c r="D33" t="inlineStr">
        <is>
          <t>NARİN CROISSANT 23X32 KESE KAĞIDI</t>
        </is>
      </c>
      <c r="E33" s="8" t="n">
        <v>10</v>
      </c>
      <c r="F33" t="inlineStr">
        <is>
          <t>KG</t>
        </is>
      </c>
      <c r="G33" s="9" t="n">
        <v>320</v>
      </c>
      <c r="H33" s="9" t="n">
        <v>320</v>
      </c>
      <c r="I33" s="12" t="n">
        <v>3360</v>
      </c>
      <c r="J33" s="9" t="n"/>
      <c r="K33" t="n">
        <v>50</v>
      </c>
      <c r="L33" s="15">
        <f>IF(J33="","",H33/J33)</f>
        <v/>
      </c>
      <c r="M33" t="inlineStr"/>
    </row>
    <row r="34">
      <c r="A34" s="7" t="n">
        <v>46315</v>
      </c>
      <c r="B34" t="inlineStr">
        <is>
          <t>A00000000263385</t>
        </is>
      </c>
      <c r="C34" t="inlineStr">
        <is>
          <t>AL0037</t>
        </is>
      </c>
      <c r="D34" t="inlineStr">
        <is>
          <t>NARİN CROISSANT 23X32 KESE KAĞIDI</t>
        </is>
      </c>
      <c r="E34" s="8" t="n">
        <v>10</v>
      </c>
      <c r="F34" t="inlineStr">
        <is>
          <t>KG</t>
        </is>
      </c>
      <c r="G34" s="9" t="n">
        <v>320</v>
      </c>
      <c r="H34" s="9" t="n">
        <v>320</v>
      </c>
      <c r="I34" s="12" t="n">
        <v>3360</v>
      </c>
      <c r="J34" s="9" t="n"/>
      <c r="K34" t="n">
        <v>50</v>
      </c>
      <c r="L34" s="15">
        <f>IF(J34="","",H34/J34)</f>
        <v/>
      </c>
      <c r="M34" t="inlineStr"/>
    </row>
    <row r="35">
      <c r="A35" s="7" t="n">
        <v>46210</v>
      </c>
      <c r="B35" t="inlineStr">
        <is>
          <t>A00000000255017</t>
        </is>
      </c>
      <c r="C35" t="inlineStr">
        <is>
          <t>ALT001</t>
        </is>
      </c>
      <c r="D35" t="inlineStr">
        <is>
          <t>KRAFT PENC.ÜÇGEN SANDVİÇ  55MM PK/100 KL/5PK</t>
        </is>
      </c>
      <c r="E35" s="8" t="n">
        <v>500</v>
      </c>
      <c r="F35" t="inlineStr">
        <is>
          <t>AD</t>
        </is>
      </c>
      <c r="G35" s="9" t="n">
        <v>7.99</v>
      </c>
      <c r="H35" s="9" t="n">
        <v>7.99</v>
      </c>
      <c r="I35" s="12" t="n">
        <v>4194.75</v>
      </c>
      <c r="J35" s="9" t="n">
        <v>0.17</v>
      </c>
      <c r="K35" t="n">
        <v>47</v>
      </c>
      <c r="L35" s="15">
        <f>IF(J35="","",H35/J35)</f>
        <v/>
      </c>
      <c r="M35" t="inlineStr"/>
    </row>
    <row r="36">
      <c r="A36" s="7" t="n">
        <v>46258</v>
      </c>
      <c r="B36" t="inlineStr">
        <is>
          <t>A00000000258719</t>
        </is>
      </c>
      <c r="C36" t="inlineStr">
        <is>
          <t>ALT001</t>
        </is>
      </c>
      <c r="D36" t="inlineStr">
        <is>
          <t>KRAFT PENC.ÜÇGEN SANDVİÇ  55MM PK/100 KL/5PK</t>
        </is>
      </c>
      <c r="E36" s="8" t="n">
        <v>500</v>
      </c>
      <c r="F36" t="inlineStr">
        <is>
          <t>AD</t>
        </is>
      </c>
      <c r="G36" s="9" t="n">
        <v>8.16</v>
      </c>
      <c r="H36" s="9" t="n">
        <v>8.16</v>
      </c>
      <c r="I36" s="12" t="n">
        <v>4284</v>
      </c>
      <c r="J36" s="9" t="n">
        <v>0.17</v>
      </c>
      <c r="K36" t="n">
        <v>48</v>
      </c>
      <c r="L36" s="15">
        <f>IF(J36="","",H36/J36)</f>
        <v/>
      </c>
      <c r="M36" t="inlineStr"/>
    </row>
    <row r="37">
      <c r="A37" s="7" t="n">
        <v>46258</v>
      </c>
      <c r="B37" t="inlineStr">
        <is>
          <t>C00000000220947</t>
        </is>
      </c>
      <c r="C37" t="inlineStr">
        <is>
          <t>ALT001</t>
        </is>
      </c>
      <c r="D37" t="inlineStr">
        <is>
          <t>KRAFT PENC.ÜÇGEN SANDVİÇ  55MM PK/100 KL/5PK</t>
        </is>
      </c>
      <c r="E37" s="8" t="n">
        <v>100</v>
      </c>
      <c r="F37" t="inlineStr">
        <is>
          <t>AD</t>
        </is>
      </c>
      <c r="G37" s="9" t="n">
        <v>8.56</v>
      </c>
      <c r="H37" s="9" t="n">
        <v>8.1524</v>
      </c>
      <c r="I37" s="12" t="n">
        <v>856</v>
      </c>
      <c r="J37" s="9" t="n">
        <v>0.17833</v>
      </c>
      <c r="K37" t="n">
        <v>48</v>
      </c>
      <c r="L37" s="15">
        <f>IF(J37="","",H37/J37)</f>
        <v/>
      </c>
      <c r="M37" t="inlineStr">
        <is>
          <t>KDV dahil fiyat girilmiş belge (M/C serisi) - net KDV hariç</t>
        </is>
      </c>
    </row>
    <row r="38">
      <c r="A38" s="7" t="n">
        <v>46267</v>
      </c>
      <c r="B38" t="inlineStr">
        <is>
          <t>A00000000259302</t>
        </is>
      </c>
      <c r="C38" t="inlineStr">
        <is>
          <t>ALT001</t>
        </is>
      </c>
      <c r="D38" t="inlineStr">
        <is>
          <t>KRAFT PENC.ÜÇGEN SANDVİÇ  55MM PK/100 KL/5PK</t>
        </is>
      </c>
      <c r="E38" s="8" t="n">
        <v>500</v>
      </c>
      <c r="F38" t="inlineStr">
        <is>
          <t>AD</t>
        </is>
      </c>
      <c r="G38" s="9" t="n">
        <v>8.33</v>
      </c>
      <c r="H38" s="9" t="n">
        <v>8.33</v>
      </c>
      <c r="I38" s="12" t="n">
        <v>4373.25</v>
      </c>
      <c r="J38" s="9" t="n">
        <v>0.17</v>
      </c>
      <c r="K38" t="n">
        <v>49</v>
      </c>
      <c r="L38" s="15">
        <f>IF(J38="","",H38/J38)</f>
        <v/>
      </c>
      <c r="M38" t="inlineStr"/>
    </row>
    <row r="39">
      <c r="A39" s="7" t="n">
        <v>46298</v>
      </c>
      <c r="B39" t="inlineStr">
        <is>
          <t>A00000000261905</t>
        </is>
      </c>
      <c r="C39" t="inlineStr">
        <is>
          <t>ALT001</t>
        </is>
      </c>
      <c r="D39" t="inlineStr">
        <is>
          <t>KRAFT PENC.ÜÇGEN SANDVİÇ  55MM PK/100 KL/5PK</t>
        </is>
      </c>
      <c r="E39" s="8" t="n">
        <v>500</v>
      </c>
      <c r="F39" t="inlineStr">
        <is>
          <t>AD</t>
        </is>
      </c>
      <c r="G39" s="9" t="n">
        <v>8.33</v>
      </c>
      <c r="H39" s="9" t="n">
        <v>8.33</v>
      </c>
      <c r="I39" s="12" t="n">
        <v>4373.25</v>
      </c>
      <c r="J39" s="9" t="n">
        <v>0.17</v>
      </c>
      <c r="K39" t="n">
        <v>49</v>
      </c>
      <c r="L39" s="15">
        <f>IF(J39="","",H39/J39)</f>
        <v/>
      </c>
      <c r="M39" t="inlineStr"/>
    </row>
    <row r="40">
      <c r="A40" s="7" t="n">
        <v>46253</v>
      </c>
      <c r="B40" t="inlineStr">
        <is>
          <t>A00000000258237</t>
        </is>
      </c>
      <c r="C40" t="inlineStr">
        <is>
          <t>AMB004</t>
        </is>
      </c>
      <c r="D40" t="inlineStr">
        <is>
          <t>PİZZA KUTUSU 33 X 33  PK/90 AD</t>
        </is>
      </c>
      <c r="E40" s="8" t="n">
        <v>3</v>
      </c>
      <c r="F40" t="inlineStr">
        <is>
          <t>PK</t>
        </is>
      </c>
      <c r="G40" s="9" t="n">
        <v>1021.44</v>
      </c>
      <c r="H40" s="9" t="n">
        <v>1021.44</v>
      </c>
      <c r="I40" s="12" t="n">
        <v>3217.54</v>
      </c>
      <c r="J40" s="9" t="n">
        <v>21.28</v>
      </c>
      <c r="K40" t="n">
        <v>48</v>
      </c>
      <c r="L40" s="15">
        <f>IF(J40="","",H40/J40)</f>
        <v/>
      </c>
      <c r="M40" t="inlineStr"/>
    </row>
    <row r="41">
      <c r="A41" s="7" t="n">
        <v>46258</v>
      </c>
      <c r="B41" t="inlineStr">
        <is>
          <t>A00000000258719</t>
        </is>
      </c>
      <c r="C41" t="inlineStr">
        <is>
          <t>AMB004</t>
        </is>
      </c>
      <c r="D41" t="inlineStr">
        <is>
          <t>PİZZA KUTUSU 33 X 33  PK/90 AD</t>
        </is>
      </c>
      <c r="E41" s="8" t="n">
        <v>4</v>
      </c>
      <c r="F41" t="inlineStr">
        <is>
          <t>PK</t>
        </is>
      </c>
      <c r="G41" s="9" t="n">
        <v>1021.44</v>
      </c>
      <c r="H41" s="9" t="n">
        <v>1021.44</v>
      </c>
      <c r="I41" s="12" t="n">
        <v>4290.05</v>
      </c>
      <c r="J41" s="9" t="n">
        <v>21.28</v>
      </c>
      <c r="K41" t="n">
        <v>48</v>
      </c>
      <c r="L41" s="15">
        <f>IF(J41="","",H41/J41)</f>
        <v/>
      </c>
      <c r="M41" t="inlineStr"/>
    </row>
    <row r="42">
      <c r="A42" s="7" t="n">
        <v>46267</v>
      </c>
      <c r="B42" t="inlineStr">
        <is>
          <t>A00000000259302</t>
        </is>
      </c>
      <c r="C42" t="inlineStr">
        <is>
          <t>AMB004</t>
        </is>
      </c>
      <c r="D42" t="inlineStr">
        <is>
          <t>PİZZA KUTUSU 33 X 33  PK/90 AD</t>
        </is>
      </c>
      <c r="E42" s="8" t="n">
        <v>4</v>
      </c>
      <c r="F42" t="inlineStr">
        <is>
          <t>PK</t>
        </is>
      </c>
      <c r="G42" s="9" t="n">
        <v>1042.72</v>
      </c>
      <c r="H42" s="9" t="n">
        <v>1042.72</v>
      </c>
      <c r="I42" s="12" t="n">
        <v>4379.42</v>
      </c>
      <c r="J42" s="9" t="n">
        <v>21.28</v>
      </c>
      <c r="K42" t="n">
        <v>49</v>
      </c>
      <c r="L42" s="15">
        <f>IF(J42="","",H42/J42)</f>
        <v/>
      </c>
      <c r="M42" t="inlineStr"/>
    </row>
    <row r="43">
      <c r="A43" s="7" t="n">
        <v>46302</v>
      </c>
      <c r="B43" t="inlineStr">
        <is>
          <t>A00000000262235</t>
        </is>
      </c>
      <c r="C43" t="inlineStr">
        <is>
          <t>AMB004</t>
        </is>
      </c>
      <c r="D43" t="inlineStr">
        <is>
          <t>PİZZA KUTUSU 33 X 33  PK/90 AD</t>
        </is>
      </c>
      <c r="E43" s="8" t="n">
        <v>5</v>
      </c>
      <c r="F43" t="inlineStr">
        <is>
          <t>PK</t>
        </is>
      </c>
      <c r="G43" s="9" t="n">
        <v>1021</v>
      </c>
      <c r="H43" s="9" t="n">
        <v>1021</v>
      </c>
      <c r="I43" s="12" t="n">
        <v>5360.25</v>
      </c>
      <c r="J43" s="9" t="n">
        <v>20.83673</v>
      </c>
      <c r="K43" t="n">
        <v>49</v>
      </c>
      <c r="L43" s="15">
        <f>IF(J43="","",H43/J43)</f>
        <v/>
      </c>
      <c r="M43" t="inlineStr"/>
    </row>
    <row r="44">
      <c r="A44" s="7" t="n">
        <v>46207</v>
      </c>
      <c r="B44" t="inlineStr">
        <is>
          <t>M00000000254628</t>
        </is>
      </c>
      <c r="C44" t="inlineStr">
        <is>
          <t>AMB018</t>
        </is>
      </c>
      <c r="D44" t="inlineStr">
        <is>
          <t>PİZZA KUTUSU KRAFT BASKISIZ 33 X 33 PK/100AD</t>
        </is>
      </c>
      <c r="E44" s="8" t="n">
        <v>1</v>
      </c>
      <c r="F44" t="inlineStr">
        <is>
          <t>PK</t>
        </is>
      </c>
      <c r="G44" s="9" t="n">
        <v>1300</v>
      </c>
      <c r="H44" s="9" t="n">
        <v>1238.0952</v>
      </c>
      <c r="I44" s="12" t="n">
        <v>1300</v>
      </c>
      <c r="J44" s="9" t="n">
        <v>27.65957</v>
      </c>
      <c r="K44" t="n">
        <v>47</v>
      </c>
      <c r="L44" s="15">
        <f>IF(J44="","",H44/J44)</f>
        <v/>
      </c>
      <c r="M44" t="inlineStr">
        <is>
          <t>KDV dahil fiyat girilmiş belge (M/C serisi) - net KDV hariç</t>
        </is>
      </c>
    </row>
    <row r="45">
      <c r="A45" s="7" t="n">
        <v>46207</v>
      </c>
      <c r="B45" t="inlineStr">
        <is>
          <t>M00000000254629</t>
        </is>
      </c>
      <c r="C45" t="inlineStr">
        <is>
          <t>AMB018</t>
        </is>
      </c>
      <c r="D45" t="inlineStr">
        <is>
          <t>PİZZA KUTUSU KRAFT BASKISIZ 33 X 33 PK/100AD</t>
        </is>
      </c>
      <c r="E45" s="8" t="n">
        <v>1</v>
      </c>
      <c r="F45" t="inlineStr">
        <is>
          <t>PK</t>
        </is>
      </c>
      <c r="G45" s="9" t="n">
        <v>1300</v>
      </c>
      <c r="H45" s="9" t="n">
        <v>1238.0952</v>
      </c>
      <c r="I45" s="12" t="n">
        <v>1300</v>
      </c>
      <c r="J45" s="9" t="n">
        <v>27.65957</v>
      </c>
      <c r="K45" t="n">
        <v>47</v>
      </c>
      <c r="L45" s="15">
        <f>IF(J45="","",H45/J45)</f>
        <v/>
      </c>
      <c r="M45" t="inlineStr">
        <is>
          <t>KDV dahil fiyat girilmiş belge (M/C serisi) - net KDV hariç</t>
        </is>
      </c>
    </row>
    <row r="46">
      <c r="A46" s="7" t="n">
        <v>46228</v>
      </c>
      <c r="B46" t="inlineStr">
        <is>
          <t>C00000000220907</t>
        </is>
      </c>
      <c r="C46" t="inlineStr">
        <is>
          <t>AMB018</t>
        </is>
      </c>
      <c r="D46" t="inlineStr">
        <is>
          <t>PİZZA KUTUSU KRAFT BASKISIZ 33 X 33 PK/100AD</t>
        </is>
      </c>
      <c r="E46" s="8" t="n">
        <v>2</v>
      </c>
      <c r="F46" t="inlineStr">
        <is>
          <t>PK</t>
        </is>
      </c>
      <c r="G46" s="9" t="n">
        <v>1350</v>
      </c>
      <c r="H46" s="9" t="n">
        <v>1285.7143</v>
      </c>
      <c r="I46" s="12" t="n">
        <v>2700</v>
      </c>
      <c r="J46" s="9" t="n">
        <v>28.125</v>
      </c>
      <c r="K46" t="n">
        <v>48</v>
      </c>
      <c r="L46" s="15">
        <f>IF(J46="","",H46/J46)</f>
        <v/>
      </c>
      <c r="M46" t="inlineStr">
        <is>
          <t>KDV dahil fiyat girilmiş belge (M/C serisi) - net KDV hariç</t>
        </is>
      </c>
    </row>
    <row r="47">
      <c r="A47" s="7" t="n">
        <v>46207</v>
      </c>
      <c r="B47" t="inlineStr">
        <is>
          <t>M00000000254628</t>
        </is>
      </c>
      <c r="C47" t="inlineStr">
        <is>
          <t>AMB037</t>
        </is>
      </c>
      <c r="D47" t="inlineStr">
        <is>
          <t>PİZZA KUTUSU 30 X 30  PK/50 AD</t>
        </is>
      </c>
      <c r="E47" s="8" t="n">
        <v>1</v>
      </c>
      <c r="F47" t="inlineStr">
        <is>
          <t>PK</t>
        </is>
      </c>
      <c r="G47" s="9" t="n">
        <v>450</v>
      </c>
      <c r="H47" s="9" t="n">
        <v>428.5714</v>
      </c>
      <c r="I47" s="12" t="n">
        <v>450</v>
      </c>
      <c r="J47" s="9" t="n">
        <v>9.57447</v>
      </c>
      <c r="K47" t="n">
        <v>47</v>
      </c>
      <c r="L47" s="15">
        <f>IF(J47="","",H47/J47)</f>
        <v/>
      </c>
      <c r="M47" t="inlineStr">
        <is>
          <t>KDV dahil fiyat girilmiş belge (M/C serisi) - net KDV hariç</t>
        </is>
      </c>
    </row>
    <row r="48">
      <c r="A48" s="7" t="n">
        <v>46207</v>
      </c>
      <c r="B48" t="inlineStr">
        <is>
          <t>M00000000254629</t>
        </is>
      </c>
      <c r="C48" t="inlineStr">
        <is>
          <t>AMB037</t>
        </is>
      </c>
      <c r="D48" t="inlineStr">
        <is>
          <t>PİZZA KUTUSU 30 X 30  PK/50 AD</t>
        </is>
      </c>
      <c r="E48" s="8" t="n">
        <v>1</v>
      </c>
      <c r="F48" t="inlineStr">
        <is>
          <t>PK</t>
        </is>
      </c>
      <c r="G48" s="9" t="n">
        <v>450</v>
      </c>
      <c r="H48" s="9" t="n">
        <v>428.5714</v>
      </c>
      <c r="I48" s="12" t="n">
        <v>450</v>
      </c>
      <c r="J48" s="9" t="n">
        <v>9.57447</v>
      </c>
      <c r="K48" t="n">
        <v>47</v>
      </c>
      <c r="L48" s="15">
        <f>IF(J48="","",H48/J48)</f>
        <v/>
      </c>
      <c r="M48" t="inlineStr">
        <is>
          <t>KDV dahil fiyat girilmiş belge (M/C serisi) - net KDV hariç</t>
        </is>
      </c>
    </row>
    <row r="49">
      <c r="A49" s="7" t="n">
        <v>46231</v>
      </c>
      <c r="B49" t="inlineStr">
        <is>
          <t>A00000000256593</t>
        </is>
      </c>
      <c r="C49" t="inlineStr">
        <is>
          <t>AMB037</t>
        </is>
      </c>
      <c r="D49" t="inlineStr">
        <is>
          <t>PİZZA KUTUSU 30 X 30  PK/50 AD</t>
        </is>
      </c>
      <c r="E49" s="8" t="n">
        <v>6</v>
      </c>
      <c r="F49" t="inlineStr">
        <is>
          <t>PK</t>
        </is>
      </c>
      <c r="G49" s="9" t="n">
        <v>417.3888</v>
      </c>
      <c r="H49" s="9" t="n">
        <v>417.3883</v>
      </c>
      <c r="I49" s="12" t="n">
        <v>2629.55</v>
      </c>
      <c r="J49" s="9" t="n">
        <v>8.695600000000001</v>
      </c>
      <c r="K49" t="n">
        <v>48</v>
      </c>
      <c r="L49" s="15">
        <f>IF(J49="","",H49/J49)</f>
        <v/>
      </c>
      <c r="M49" t="inlineStr"/>
    </row>
    <row r="50">
      <c r="A50" s="7" t="n">
        <v>46233</v>
      </c>
      <c r="B50" t="inlineStr">
        <is>
          <t>C00000000220913</t>
        </is>
      </c>
      <c r="C50" t="inlineStr">
        <is>
          <t>AMB037</t>
        </is>
      </c>
      <c r="D50" t="inlineStr">
        <is>
          <t>PİZZA KUTUSU 30 X 30  PK/50 AD</t>
        </is>
      </c>
      <c r="E50" s="8" t="n">
        <v>4</v>
      </c>
      <c r="F50" t="inlineStr">
        <is>
          <t>PK</t>
        </is>
      </c>
      <c r="G50" s="9" t="n">
        <v>450</v>
      </c>
      <c r="H50" s="9" t="n">
        <v>396.4264</v>
      </c>
      <c r="I50" s="12" t="n">
        <v>1664.99</v>
      </c>
      <c r="J50" s="9" t="n">
        <v>9.375</v>
      </c>
      <c r="K50" t="n">
        <v>48</v>
      </c>
      <c r="L50" s="15">
        <f>IF(J50="","",H50/J50)</f>
        <v/>
      </c>
      <c r="M50" t="inlineStr">
        <is>
          <t>KDV dahil fiyat girilmiş belge (M/C serisi) - net KDV hariç</t>
        </is>
      </c>
    </row>
    <row r="51">
      <c r="A51" s="7" t="n">
        <v>46204</v>
      </c>
      <c r="B51" t="inlineStr">
        <is>
          <t>A00000000254474</t>
        </is>
      </c>
      <c r="C51" t="inlineStr">
        <is>
          <t>ARS025</t>
        </is>
      </c>
      <c r="D51" t="inlineStr">
        <is>
          <t>KAVANOZ CAM 300 ML + KAPAK KL/100</t>
        </is>
      </c>
      <c r="E51" s="8" t="n">
        <v>200</v>
      </c>
      <c r="F51" t="inlineStr">
        <is>
          <t>AD</t>
        </is>
      </c>
      <c r="G51" s="9" t="n">
        <v>13.5125</v>
      </c>
      <c r="H51" s="9" t="n">
        <v>13.5125</v>
      </c>
      <c r="I51" s="12" t="n">
        <v>2837.63</v>
      </c>
      <c r="J51" s="9" t="n">
        <v>0.2875</v>
      </c>
      <c r="K51" t="n">
        <v>47</v>
      </c>
      <c r="L51" s="15">
        <f>IF(J51="","",H51/J51)</f>
        <v/>
      </c>
      <c r="M51" t="inlineStr"/>
    </row>
    <row r="52">
      <c r="A52" s="7" t="n">
        <v>46252</v>
      </c>
      <c r="B52" t="inlineStr">
        <is>
          <t>A00000000258193</t>
        </is>
      </c>
      <c r="C52" t="inlineStr">
        <is>
          <t>ARS027</t>
        </is>
      </c>
      <c r="D52" t="inlineStr">
        <is>
          <t>KAVANOZ CAM 300 CC KL/100 AD + KAPAK</t>
        </is>
      </c>
      <c r="E52" s="8" t="n">
        <v>100</v>
      </c>
      <c r="F52" t="inlineStr">
        <is>
          <t>AD</t>
        </is>
      </c>
      <c r="G52" s="9" t="n">
        <v>13.92</v>
      </c>
      <c r="H52" s="9" t="n">
        <v>13.92</v>
      </c>
      <c r="I52" s="12" t="n">
        <v>1461.6</v>
      </c>
      <c r="J52" s="9" t="n">
        <v>0.29</v>
      </c>
      <c r="K52" t="n">
        <v>48</v>
      </c>
      <c r="L52" s="15">
        <f>IF(J52="","",H52/J52)</f>
        <v/>
      </c>
      <c r="M52" t="inlineStr"/>
    </row>
    <row r="53">
      <c r="A53" s="7" t="n">
        <v>46263</v>
      </c>
      <c r="B53" t="inlineStr">
        <is>
          <t>A00000000259129</t>
        </is>
      </c>
      <c r="C53" t="inlineStr">
        <is>
          <t>BBT285</t>
        </is>
      </c>
      <c r="D53" t="inlineStr">
        <is>
          <t>AMARO 100CC KARTON DONDURMA KABI  KL/100PK</t>
        </is>
      </c>
      <c r="E53" s="8" t="n">
        <v>20000</v>
      </c>
      <c r="F53" t="inlineStr">
        <is>
          <t>AD</t>
        </is>
      </c>
      <c r="G53" s="9" t="n">
        <v>5.115</v>
      </c>
      <c r="H53" s="9" t="n">
        <v>5.115</v>
      </c>
      <c r="I53" s="12" t="n">
        <v>107415</v>
      </c>
      <c r="J53" s="9" t="n">
        <v>0.093</v>
      </c>
      <c r="K53" t="n">
        <v>48</v>
      </c>
      <c r="L53" s="15">
        <f>IF(J53="","",H53/J53)</f>
        <v/>
      </c>
      <c r="M53" t="inlineStr"/>
    </row>
    <row r="54">
      <c r="A54" s="7" t="n">
        <v>46218</v>
      </c>
      <c r="B54" t="inlineStr">
        <is>
          <t>A00000000255479</t>
        </is>
      </c>
      <c r="C54" t="inlineStr">
        <is>
          <t>BN052</t>
        </is>
      </c>
      <c r="D54" t="inlineStr">
        <is>
          <t>MAXİ EKLER BEYAZ KAPSÜL 110X38X25 500/PK</t>
        </is>
      </c>
      <c r="E54" s="8" t="n">
        <v>3</v>
      </c>
      <c r="F54" t="inlineStr">
        <is>
          <t>PK</t>
        </is>
      </c>
      <c r="G54" s="9" t="n">
        <v>205.344</v>
      </c>
      <c r="H54" s="9" t="n">
        <v>205.3433</v>
      </c>
      <c r="I54" s="12" t="n">
        <v>646.83</v>
      </c>
      <c r="J54" s="9" t="n">
        <v>4.278</v>
      </c>
      <c r="K54" t="n">
        <v>48</v>
      </c>
      <c r="L54" s="15">
        <f>IF(J54="","",H54/J54)</f>
        <v/>
      </c>
      <c r="M54" t="inlineStr"/>
    </row>
    <row r="55">
      <c r="A55" s="7" t="n">
        <v>46302</v>
      </c>
      <c r="B55" t="inlineStr">
        <is>
          <t>A00000000262235</t>
        </is>
      </c>
      <c r="C55" t="inlineStr">
        <is>
          <t>BN052</t>
        </is>
      </c>
      <c r="D55" t="inlineStr">
        <is>
          <t>MAXİ EKLER BEYAZ KAPSÜL 110X38X25 500/PK</t>
        </is>
      </c>
      <c r="E55" s="8" t="n">
        <v>2</v>
      </c>
      <c r="F55" t="inlineStr">
        <is>
          <t>PK</t>
        </is>
      </c>
      <c r="G55" s="9" t="n">
        <v>209.622</v>
      </c>
      <c r="H55" s="9" t="n">
        <v>209.62</v>
      </c>
      <c r="I55" s="12" t="n">
        <v>440.2</v>
      </c>
      <c r="J55" s="9" t="n">
        <v>4.278</v>
      </c>
      <c r="K55" t="n">
        <v>49</v>
      </c>
      <c r="L55" s="15">
        <f>IF(J55="","",H55/J55)</f>
        <v/>
      </c>
      <c r="M55" t="inlineStr"/>
    </row>
    <row r="56">
      <c r="A56" s="7" t="n">
        <v>46218</v>
      </c>
      <c r="B56" t="inlineStr">
        <is>
          <t>A00000000255479</t>
        </is>
      </c>
      <c r="C56" t="inlineStr">
        <is>
          <t>BN078</t>
        </is>
      </c>
      <c r="D56" t="inlineStr">
        <is>
          <t>BEYAZ KAPSÜL NO:5 50X40 PK/500AD</t>
        </is>
      </c>
      <c r="E56" s="8" t="n">
        <v>5</v>
      </c>
      <c r="F56" t="inlineStr">
        <is>
          <t>PK</t>
        </is>
      </c>
      <c r="G56" s="9" t="n">
        <v>239.568</v>
      </c>
      <c r="H56" s="9" t="n">
        <v>239.568</v>
      </c>
      <c r="I56" s="12" t="n">
        <v>1257.73</v>
      </c>
      <c r="J56" s="9" t="n">
        <v>4.991</v>
      </c>
      <c r="K56" t="n">
        <v>48</v>
      </c>
      <c r="L56" s="15">
        <f>IF(J56="","",H56/J56)</f>
        <v/>
      </c>
      <c r="M56" t="inlineStr"/>
    </row>
    <row r="57">
      <c r="A57" s="7" t="n">
        <v>46273</v>
      </c>
      <c r="B57" t="inlineStr">
        <is>
          <t>A00000000259731</t>
        </is>
      </c>
      <c r="C57" t="inlineStr">
        <is>
          <t>BN078</t>
        </is>
      </c>
      <c r="D57" t="inlineStr">
        <is>
          <t>BEYAZ KAPSÜL NO:5 50X40 PK/500AD</t>
        </is>
      </c>
      <c r="E57" s="8" t="n">
        <v>5</v>
      </c>
      <c r="F57" t="inlineStr">
        <is>
          <t>PK</t>
        </is>
      </c>
      <c r="G57" s="9" t="n">
        <v>245</v>
      </c>
      <c r="H57" s="9" t="n">
        <v>245</v>
      </c>
      <c r="I57" s="12" t="n">
        <v>1286.25</v>
      </c>
      <c r="J57" s="9" t="n">
        <v>5</v>
      </c>
      <c r="K57" t="n">
        <v>49</v>
      </c>
      <c r="L57" s="15">
        <f>IF(J57="","",H57/J57)</f>
        <v/>
      </c>
      <c r="M57" t="inlineStr"/>
    </row>
    <row r="58">
      <c r="A58" s="7" t="n">
        <v>46308</v>
      </c>
      <c r="B58" t="inlineStr">
        <is>
          <t>A00000000262812</t>
        </is>
      </c>
      <c r="C58" t="inlineStr">
        <is>
          <t>BN093</t>
        </is>
      </c>
      <c r="D58" t="inlineStr">
        <is>
          <t>TULIP KADEMELI 160/50MM BEYAZ PK/150AD KL/20PK</t>
        </is>
      </c>
      <c r="E58" s="8" t="n">
        <v>2</v>
      </c>
      <c r="F58" t="inlineStr">
        <is>
          <t>PK</t>
        </is>
      </c>
      <c r="G58" s="9" t="n">
        <v>575</v>
      </c>
      <c r="H58" s="9" t="n">
        <v>575</v>
      </c>
      <c r="I58" s="12" t="n">
        <v>1207.5</v>
      </c>
      <c r="J58" s="9" t="n">
        <v>11.5</v>
      </c>
      <c r="K58" t="n">
        <v>50</v>
      </c>
      <c r="L58" s="15">
        <f>IF(J58="","",H58/J58)</f>
        <v/>
      </c>
      <c r="M58" t="inlineStr"/>
    </row>
    <row r="59">
      <c r="A59" s="7" t="n">
        <v>46204</v>
      </c>
      <c r="B59" t="inlineStr">
        <is>
          <t>A00000000254474</t>
        </is>
      </c>
      <c r="C59" t="inlineStr">
        <is>
          <t>BRG010</t>
        </is>
      </c>
      <c r="D59" t="inlineStr">
        <is>
          <t>KC280 MODERNA PS KARE KAP +KAPAK KL/400</t>
        </is>
      </c>
      <c r="E59" s="8" t="n">
        <v>400</v>
      </c>
      <c r="F59" t="inlineStr">
        <is>
          <t>AD</t>
        </is>
      </c>
      <c r="G59" s="9" t="n">
        <v>16.7555</v>
      </c>
      <c r="H59" s="9" t="n">
        <v>16.7555</v>
      </c>
      <c r="I59" s="12" t="n">
        <v>7037.31</v>
      </c>
      <c r="J59" s="9" t="n">
        <v>0.3565</v>
      </c>
      <c r="K59" t="n">
        <v>47</v>
      </c>
      <c r="L59" s="15">
        <f>IF(J59="","",H59/J59)</f>
        <v/>
      </c>
      <c r="M59" t="inlineStr"/>
    </row>
    <row r="60">
      <c r="A60" s="7" t="n">
        <v>46225</v>
      </c>
      <c r="B60" t="inlineStr">
        <is>
          <t>A00000000256217</t>
        </is>
      </c>
      <c r="C60" t="inlineStr">
        <is>
          <t>BRG010</t>
        </is>
      </c>
      <c r="D60" t="inlineStr">
        <is>
          <t>KC280 MODERNA PS KARE KAP +KAPAK KL/400</t>
        </is>
      </c>
      <c r="E60" s="8" t="n">
        <v>400</v>
      </c>
      <c r="F60" t="inlineStr">
        <is>
          <t>AD</t>
        </is>
      </c>
      <c r="G60" s="9" t="n">
        <v>17.112</v>
      </c>
      <c r="H60" s="9" t="n">
        <v>17.112</v>
      </c>
      <c r="I60" s="12" t="n">
        <v>7187.04</v>
      </c>
      <c r="J60" s="9" t="n">
        <v>0.3565</v>
      </c>
      <c r="K60" t="n">
        <v>48</v>
      </c>
      <c r="L60" s="15">
        <f>IF(J60="","",H60/J60)</f>
        <v/>
      </c>
      <c r="M60" t="inlineStr"/>
    </row>
    <row r="61">
      <c r="A61" s="7" t="n">
        <v>46238</v>
      </c>
      <c r="B61" t="inlineStr">
        <is>
          <t>A00000000257116</t>
        </is>
      </c>
      <c r="C61" t="inlineStr">
        <is>
          <t>BRG010</t>
        </is>
      </c>
      <c r="D61" t="inlineStr">
        <is>
          <t>KC280 MODERNA PS KARE KAP +KAPAK KL/400</t>
        </is>
      </c>
      <c r="E61" s="8" t="n">
        <v>400</v>
      </c>
      <c r="F61" t="inlineStr">
        <is>
          <t>AD</t>
        </is>
      </c>
      <c r="G61" s="9" t="n">
        <v>17.112</v>
      </c>
      <c r="H61" s="9" t="n">
        <v>17.112</v>
      </c>
      <c r="I61" s="12" t="n">
        <v>7187.04</v>
      </c>
      <c r="J61" s="9" t="n">
        <v>0.3565</v>
      </c>
      <c r="K61" t="n">
        <v>48</v>
      </c>
      <c r="L61" s="15">
        <f>IF(J61="","",H61/J61)</f>
        <v/>
      </c>
      <c r="M61" t="inlineStr"/>
    </row>
    <row r="62">
      <c r="A62" s="7" t="n">
        <v>46296</v>
      </c>
      <c r="B62" t="inlineStr">
        <is>
          <t>A00000000261821</t>
        </is>
      </c>
      <c r="C62" t="inlineStr">
        <is>
          <t>BRG010</t>
        </is>
      </c>
      <c r="D62" t="inlineStr">
        <is>
          <t>KC280 MODERNA PS KARE KAP +KAPAK KL/400</t>
        </is>
      </c>
      <c r="E62" s="8" t="n">
        <v>400</v>
      </c>
      <c r="F62" t="inlineStr">
        <is>
          <t>AD</t>
        </is>
      </c>
      <c r="G62" s="9" t="n">
        <v>14.7</v>
      </c>
      <c r="H62" s="9" t="n">
        <v>14.7</v>
      </c>
      <c r="I62" s="12" t="n">
        <v>6174</v>
      </c>
      <c r="J62" s="9" t="n">
        <v>0.3</v>
      </c>
      <c r="K62" t="n">
        <v>49</v>
      </c>
      <c r="L62" s="15">
        <f>IF(J62="","",H62/J62)</f>
        <v/>
      </c>
      <c r="M62" t="inlineStr"/>
    </row>
    <row r="63">
      <c r="A63" s="7" t="n">
        <v>46308</v>
      </c>
      <c r="B63" t="inlineStr">
        <is>
          <t>A00000000262812</t>
        </is>
      </c>
      <c r="C63" t="inlineStr">
        <is>
          <t>BRG010</t>
        </is>
      </c>
      <c r="D63" t="inlineStr">
        <is>
          <t>KC280 MODERNA PS KARE KAP +KAPAK KL/400</t>
        </is>
      </c>
      <c r="E63" s="8" t="n">
        <v>800</v>
      </c>
      <c r="F63" t="inlineStr">
        <is>
          <t>AD</t>
        </is>
      </c>
      <c r="G63" s="9" t="n">
        <v>15</v>
      </c>
      <c r="H63" s="9" t="n">
        <v>15</v>
      </c>
      <c r="I63" s="12" t="n">
        <v>12600</v>
      </c>
      <c r="J63" s="9" t="n">
        <v>0.3</v>
      </c>
      <c r="K63" t="n">
        <v>50</v>
      </c>
      <c r="L63" s="15">
        <f>IF(J63="","",H63/J63)</f>
        <v/>
      </c>
      <c r="M63" t="inlineStr"/>
    </row>
    <row r="64">
      <c r="A64" s="7" t="n">
        <v>46290</v>
      </c>
      <c r="B64" t="inlineStr">
        <is>
          <t>M00000000260194</t>
        </is>
      </c>
      <c r="C64" t="inlineStr">
        <is>
          <t>BRN004</t>
        </is>
      </c>
      <c r="D64" t="inlineStr">
        <is>
          <t>CİPS BARDAK KARTON 8 OZ KL/1000AD</t>
        </is>
      </c>
      <c r="E64" s="8" t="n">
        <v>100</v>
      </c>
      <c r="F64" t="inlineStr">
        <is>
          <t>AD</t>
        </is>
      </c>
      <c r="G64" s="9" t="n">
        <v>6.82</v>
      </c>
      <c r="H64" s="9" t="n">
        <v>6.4952</v>
      </c>
      <c r="I64" s="12" t="n">
        <v>682</v>
      </c>
      <c r="J64" s="9" t="n">
        <v>0.13918</v>
      </c>
      <c r="K64" t="n">
        <v>49</v>
      </c>
      <c r="L64" s="15">
        <f>IF(J64="","",H64/J64)</f>
        <v/>
      </c>
      <c r="M64" t="inlineStr">
        <is>
          <t>KDV dahil fiyat girilmiş belge (M/C serisi) - net KDV hariç</t>
        </is>
      </c>
    </row>
    <row r="65">
      <c r="A65" s="7" t="n">
        <v>46224</v>
      </c>
      <c r="B65" t="inlineStr">
        <is>
          <t>A00000000256028</t>
        </is>
      </c>
      <c r="C65" t="inlineStr">
        <is>
          <t>CAG018</t>
        </is>
      </c>
      <c r="D65" t="inlineStr">
        <is>
          <t>NARİN BAGET 12X42 BEYAZ YAĞLI</t>
        </is>
      </c>
      <c r="E65" s="8" t="n">
        <v>5</v>
      </c>
      <c r="F65" t="inlineStr">
        <is>
          <t>KG</t>
        </is>
      </c>
      <c r="G65" s="9" t="n">
        <v>364.32</v>
      </c>
      <c r="H65" s="9" t="n">
        <v>364.32</v>
      </c>
      <c r="I65" s="12" t="n">
        <v>1912.68</v>
      </c>
      <c r="J65" s="9" t="n">
        <v>7.59</v>
      </c>
      <c r="K65" t="n">
        <v>48</v>
      </c>
      <c r="L65" s="15">
        <f>IF(J65="","",H65/J65)</f>
        <v/>
      </c>
      <c r="M65" t="inlineStr"/>
    </row>
    <row r="66">
      <c r="A66" s="7" t="n">
        <v>46231</v>
      </c>
      <c r="B66" t="inlineStr">
        <is>
          <t>A00000000256596</t>
        </is>
      </c>
      <c r="C66" t="inlineStr">
        <is>
          <t>CAG018</t>
        </is>
      </c>
      <c r="D66" t="inlineStr">
        <is>
          <t>NARİN BAGET 12X42 BEYAZ YAĞLI</t>
        </is>
      </c>
      <c r="E66" s="8" t="n">
        <v>5</v>
      </c>
      <c r="F66" t="inlineStr">
        <is>
          <t>KG</t>
        </is>
      </c>
      <c r="G66" s="9" t="n">
        <v>320</v>
      </c>
      <c r="H66" s="9" t="n">
        <v>320</v>
      </c>
      <c r="I66" s="12" t="n">
        <v>1680</v>
      </c>
      <c r="J66" s="9" t="n">
        <v>6.66667</v>
      </c>
      <c r="K66" t="n">
        <v>48</v>
      </c>
      <c r="L66" s="15">
        <f>IF(J66="","",H66/J66)</f>
        <v/>
      </c>
      <c r="M66" t="inlineStr"/>
    </row>
    <row r="67">
      <c r="A67" s="7" t="n">
        <v>46302</v>
      </c>
      <c r="B67" t="inlineStr">
        <is>
          <t>A00000000262300</t>
        </is>
      </c>
      <c r="C67" t="inlineStr">
        <is>
          <t>CAG018</t>
        </is>
      </c>
      <c r="D67" t="inlineStr">
        <is>
          <t>NARİN BAGET 12X42 BEYAZ YAĞLI</t>
        </is>
      </c>
      <c r="E67" s="8" t="n">
        <v>10</v>
      </c>
      <c r="F67" t="inlineStr">
        <is>
          <t>KG</t>
        </is>
      </c>
      <c r="G67" s="9" t="n">
        <v>371.91</v>
      </c>
      <c r="H67" s="9" t="n">
        <v>371.91</v>
      </c>
      <c r="I67" s="12" t="n">
        <v>3905.06</v>
      </c>
      <c r="J67" s="9" t="n">
        <v>7.59</v>
      </c>
      <c r="K67" t="n">
        <v>49</v>
      </c>
      <c r="L67" s="15">
        <f>IF(J67="","",H67/J67)</f>
        <v/>
      </c>
      <c r="M67" t="inlineStr"/>
    </row>
    <row r="68">
      <c r="A68" s="7" t="n">
        <v>46235</v>
      </c>
      <c r="B68" t="inlineStr">
        <is>
          <t>A00000000256933</t>
        </is>
      </c>
      <c r="C68" t="inlineStr">
        <is>
          <t>GUS083</t>
        </is>
      </c>
      <c r="D68" t="inlineStr">
        <is>
          <t>GUSSE ŞURUP 0,70LT KARAMEL</t>
        </is>
      </c>
      <c r="E68" s="8" t="n">
        <v>12</v>
      </c>
      <c r="F68" t="inlineStr">
        <is>
          <t>AD</t>
        </is>
      </c>
      <c r="G68" s="9" t="n">
        <v>406</v>
      </c>
      <c r="H68" s="9" t="n">
        <v>406</v>
      </c>
      <c r="I68" s="12" t="n">
        <v>5651.52</v>
      </c>
      <c r="J68" s="9" t="n"/>
      <c r="K68" t="n">
        <v>48</v>
      </c>
      <c r="L68" s="15">
        <f>IF(J68="","",H68/J68)</f>
        <v/>
      </c>
      <c r="M68" t="inlineStr"/>
    </row>
    <row r="69">
      <c r="A69" s="7" t="n">
        <v>46238</v>
      </c>
      <c r="B69" t="inlineStr">
        <is>
          <t>A00000000257111</t>
        </is>
      </c>
      <c r="C69" t="inlineStr">
        <is>
          <t>GUS083</t>
        </is>
      </c>
      <c r="D69" t="inlineStr">
        <is>
          <t>GUSSE ŞURUP 0,70LT KARAMEL</t>
        </is>
      </c>
      <c r="E69" s="8" t="n">
        <v>12</v>
      </c>
      <c r="F69" t="inlineStr">
        <is>
          <t>AD</t>
        </is>
      </c>
      <c r="G69" s="9" t="n">
        <v>436</v>
      </c>
      <c r="H69" s="9" t="n">
        <v>392.4</v>
      </c>
      <c r="I69" s="12" t="n">
        <v>5462.21</v>
      </c>
      <c r="J69" s="9" t="n"/>
      <c r="K69" t="n">
        <v>48</v>
      </c>
      <c r="L69" s="15">
        <f>IF(J69="","",H69/J69)</f>
        <v/>
      </c>
      <c r="M69" t="inlineStr">
        <is>
          <t>İskontolu/net≠brüt</t>
        </is>
      </c>
    </row>
    <row r="70">
      <c r="A70" s="7" t="n">
        <v>46244</v>
      </c>
      <c r="B70" t="inlineStr">
        <is>
          <t>A00000000257609</t>
        </is>
      </c>
      <c r="C70" t="inlineStr">
        <is>
          <t>GUS083</t>
        </is>
      </c>
      <c r="D70" t="inlineStr">
        <is>
          <t>GUSSE ŞURUP 0,70LT KARAMEL</t>
        </is>
      </c>
      <c r="E70" s="8" t="n">
        <v>12</v>
      </c>
      <c r="F70" t="inlineStr">
        <is>
          <t>AD</t>
        </is>
      </c>
      <c r="G70" s="9" t="n">
        <v>406</v>
      </c>
      <c r="H70" s="9" t="n">
        <v>365.4</v>
      </c>
      <c r="I70" s="12" t="n">
        <v>5086.37</v>
      </c>
      <c r="J70" s="9" t="n"/>
      <c r="K70" t="n">
        <v>48</v>
      </c>
      <c r="L70" s="15">
        <f>IF(J70="","",H70/J70)</f>
        <v/>
      </c>
      <c r="M70" t="inlineStr">
        <is>
          <t>İskontolu/net≠brüt</t>
        </is>
      </c>
    </row>
    <row r="71">
      <c r="A71" s="7" t="n">
        <v>46245</v>
      </c>
      <c r="B71" t="inlineStr">
        <is>
          <t>A00000000257665</t>
        </is>
      </c>
      <c r="C71" t="inlineStr">
        <is>
          <t>GUS083</t>
        </is>
      </c>
      <c r="D71" t="inlineStr">
        <is>
          <t>GUSSE ŞURUP 0,70LT KARAMEL</t>
        </is>
      </c>
      <c r="E71" s="8" t="n">
        <v>6</v>
      </c>
      <c r="F71" t="inlineStr">
        <is>
          <t>AD</t>
        </is>
      </c>
      <c r="G71" s="9" t="n">
        <v>406</v>
      </c>
      <c r="H71" s="9" t="n">
        <v>406</v>
      </c>
      <c r="I71" s="12" t="n">
        <v>2825.76</v>
      </c>
      <c r="J71" s="9" t="n"/>
      <c r="K71" t="n">
        <v>48</v>
      </c>
      <c r="L71" s="15">
        <f>IF(J71="","",H71/J71)</f>
        <v/>
      </c>
      <c r="M71" t="inlineStr"/>
    </row>
    <row r="72">
      <c r="A72" s="7" t="n">
        <v>46252</v>
      </c>
      <c r="B72" t="inlineStr">
        <is>
          <t>A00000000258131</t>
        </is>
      </c>
      <c r="C72" t="inlineStr">
        <is>
          <t>GUS083</t>
        </is>
      </c>
      <c r="D72" t="inlineStr">
        <is>
          <t>GUSSE ŞURUP 0,70LT KARAMEL</t>
        </is>
      </c>
      <c r="E72" s="8" t="n">
        <v>12</v>
      </c>
      <c r="F72" t="inlineStr">
        <is>
          <t>AD</t>
        </is>
      </c>
      <c r="G72" s="9" t="n">
        <v>436</v>
      </c>
      <c r="H72" s="9" t="n">
        <v>392.4</v>
      </c>
      <c r="I72" s="12" t="n">
        <v>5462.21</v>
      </c>
      <c r="J72" s="9" t="n"/>
      <c r="K72" t="n">
        <v>48</v>
      </c>
      <c r="L72" s="15">
        <f>IF(J72="","",H72/J72)</f>
        <v/>
      </c>
      <c r="M72" t="inlineStr">
        <is>
          <t>İskontolu/net≠brüt</t>
        </is>
      </c>
    </row>
    <row r="73">
      <c r="A73" s="7" t="n">
        <v>46274</v>
      </c>
      <c r="B73" t="inlineStr">
        <is>
          <t>A00000000259846</t>
        </is>
      </c>
      <c r="C73" t="inlineStr">
        <is>
          <t>GUS083</t>
        </is>
      </c>
      <c r="D73" t="inlineStr">
        <is>
          <t>GUSSE ŞURUP 0,70LT KARAMEL</t>
        </is>
      </c>
      <c r="E73" s="8" t="n">
        <v>4</v>
      </c>
      <c r="F73" t="inlineStr">
        <is>
          <t>AD</t>
        </is>
      </c>
      <c r="G73" s="9" t="n">
        <v>406</v>
      </c>
      <c r="H73" s="9" t="n">
        <v>365.4</v>
      </c>
      <c r="I73" s="12" t="n">
        <v>1695.46</v>
      </c>
      <c r="J73" s="9" t="n"/>
      <c r="K73" t="n">
        <v>49</v>
      </c>
      <c r="L73" s="15">
        <f>IF(J73="","",H73/J73)</f>
        <v/>
      </c>
      <c r="M73" t="inlineStr">
        <is>
          <t>İskontolu/net≠brüt</t>
        </is>
      </c>
    </row>
    <row r="74">
      <c r="A74" s="7" t="n">
        <v>46301</v>
      </c>
      <c r="B74" t="inlineStr">
        <is>
          <t>A00000000262148</t>
        </is>
      </c>
      <c r="C74" t="inlineStr">
        <is>
          <t>GUS083</t>
        </is>
      </c>
      <c r="D74" t="inlineStr">
        <is>
          <t>GUSSE ŞURUP 0,70LT KARAMEL</t>
        </is>
      </c>
      <c r="E74" s="8" t="n">
        <v>6</v>
      </c>
      <c r="F74" t="inlineStr">
        <is>
          <t>AD</t>
        </is>
      </c>
      <c r="G74" s="9" t="n">
        <v>406</v>
      </c>
      <c r="H74" s="9" t="n">
        <v>406</v>
      </c>
      <c r="I74" s="12" t="n">
        <v>2825.76</v>
      </c>
      <c r="J74" s="9" t="n"/>
      <c r="K74" t="n">
        <v>49</v>
      </c>
      <c r="L74" s="15">
        <f>IF(J74="","",H74/J74)</f>
        <v/>
      </c>
      <c r="M74" t="inlineStr"/>
    </row>
    <row r="75">
      <c r="A75" s="7" t="n">
        <v>46308</v>
      </c>
      <c r="B75" t="inlineStr">
        <is>
          <t>A00000000262772</t>
        </is>
      </c>
      <c r="C75" t="inlineStr">
        <is>
          <t>GUS083</t>
        </is>
      </c>
      <c r="D75" t="inlineStr">
        <is>
          <t>GUSSE ŞURUP 0,70LT KARAMEL</t>
        </is>
      </c>
      <c r="E75" s="8" t="n">
        <v>12</v>
      </c>
      <c r="F75" t="inlineStr">
        <is>
          <t>AD</t>
        </is>
      </c>
      <c r="G75" s="9" t="n">
        <v>406</v>
      </c>
      <c r="H75" s="9" t="n">
        <v>406</v>
      </c>
      <c r="I75" s="12" t="n">
        <v>5651.52</v>
      </c>
      <c r="J75" s="9" t="n"/>
      <c r="K75" t="n">
        <v>50</v>
      </c>
      <c r="L75" s="15">
        <f>IF(J75="","",H75/J75)</f>
        <v/>
      </c>
      <c r="M75" t="inlineStr"/>
    </row>
    <row r="76">
      <c r="A76" s="7" t="n">
        <v>46245</v>
      </c>
      <c r="B76" t="inlineStr">
        <is>
          <t>A00000000257665</t>
        </is>
      </c>
      <c r="C76" t="inlineStr">
        <is>
          <t>GUS084</t>
        </is>
      </c>
      <c r="D76" t="inlineStr">
        <is>
          <t>GUSSE ŞURUP 0,70LT ÇİKOLATA</t>
        </is>
      </c>
      <c r="E76" s="8" t="n">
        <v>6</v>
      </c>
      <c r="F76" t="inlineStr">
        <is>
          <t>AD</t>
        </is>
      </c>
      <c r="G76" s="9" t="n">
        <v>406</v>
      </c>
      <c r="H76" s="9" t="n">
        <v>406</v>
      </c>
      <c r="I76" s="12" t="n">
        <v>2825.76</v>
      </c>
      <c r="J76" s="9" t="n"/>
      <c r="K76" t="n">
        <v>48</v>
      </c>
      <c r="L76" s="15">
        <f>IF(J76="","",H76/J76)</f>
        <v/>
      </c>
      <c r="M76" t="inlineStr"/>
    </row>
    <row r="77">
      <c r="A77" s="7" t="n">
        <v>46235</v>
      </c>
      <c r="B77" t="inlineStr">
        <is>
          <t>A00000000256933</t>
        </is>
      </c>
      <c r="C77" t="inlineStr">
        <is>
          <t>GUS087</t>
        </is>
      </c>
      <c r="D77" t="inlineStr">
        <is>
          <t>GUSSE ŞURUP 0,70LT VANİLYA</t>
        </is>
      </c>
      <c r="E77" s="8" t="n">
        <v>12</v>
      </c>
      <c r="F77" t="inlineStr">
        <is>
          <t>AD</t>
        </is>
      </c>
      <c r="G77" s="9" t="n">
        <v>406</v>
      </c>
      <c r="H77" s="9" t="n">
        <v>406</v>
      </c>
      <c r="I77" s="12" t="n">
        <v>5651.52</v>
      </c>
      <c r="J77" s="9" t="n"/>
      <c r="K77" t="n">
        <v>48</v>
      </c>
      <c r="L77" s="15">
        <f>IF(J77="","",H77/J77)</f>
        <v/>
      </c>
      <c r="M77" t="inlineStr"/>
    </row>
    <row r="78">
      <c r="A78" s="7" t="n">
        <v>46238</v>
      </c>
      <c r="B78" t="inlineStr">
        <is>
          <t>A00000000257111</t>
        </is>
      </c>
      <c r="C78" t="inlineStr">
        <is>
          <t>GUS087</t>
        </is>
      </c>
      <c r="D78" t="inlineStr">
        <is>
          <t>GUSSE ŞURUP 0,70LT VANİLYA</t>
        </is>
      </c>
      <c r="E78" s="8" t="n">
        <v>6</v>
      </c>
      <c r="F78" t="inlineStr">
        <is>
          <t>AD</t>
        </is>
      </c>
      <c r="G78" s="9" t="n">
        <v>436</v>
      </c>
      <c r="H78" s="9" t="n">
        <v>392.4</v>
      </c>
      <c r="I78" s="12" t="n">
        <v>2731.1</v>
      </c>
      <c r="J78" s="9" t="n"/>
      <c r="K78" t="n">
        <v>48</v>
      </c>
      <c r="L78" s="15">
        <f>IF(J78="","",H78/J78)</f>
        <v/>
      </c>
      <c r="M78" t="inlineStr">
        <is>
          <t>İskontolu/net≠brüt</t>
        </is>
      </c>
    </row>
    <row r="79">
      <c r="A79" s="7" t="n">
        <v>46252</v>
      </c>
      <c r="B79" t="inlineStr">
        <is>
          <t>A00000000258131</t>
        </is>
      </c>
      <c r="C79" t="inlineStr">
        <is>
          <t>GUS087</t>
        </is>
      </c>
      <c r="D79" t="inlineStr">
        <is>
          <t>GUSSE ŞURUP 0,70LT VANİLYA</t>
        </is>
      </c>
      <c r="E79" s="8" t="n">
        <v>12</v>
      </c>
      <c r="F79" t="inlineStr">
        <is>
          <t>AD</t>
        </is>
      </c>
      <c r="G79" s="9" t="n">
        <v>436</v>
      </c>
      <c r="H79" s="9" t="n">
        <v>392.4</v>
      </c>
      <c r="I79" s="12" t="n">
        <v>5462.21</v>
      </c>
      <c r="J79" s="9" t="n"/>
      <c r="K79" t="n">
        <v>48</v>
      </c>
      <c r="L79" s="15">
        <f>IF(J79="","",H79/J79)</f>
        <v/>
      </c>
      <c r="M79" t="inlineStr">
        <is>
          <t>İskontolu/net≠brüt</t>
        </is>
      </c>
    </row>
    <row r="80">
      <c r="A80" s="7" t="n">
        <v>46274</v>
      </c>
      <c r="B80" t="inlineStr">
        <is>
          <t>A00000000259846</t>
        </is>
      </c>
      <c r="C80" t="inlineStr">
        <is>
          <t>GUS087</t>
        </is>
      </c>
      <c r="D80" t="inlineStr">
        <is>
          <t>GUSSE ŞURUP 0,70LT VANİLYA</t>
        </is>
      </c>
      <c r="E80" s="8" t="n">
        <v>12</v>
      </c>
      <c r="F80" t="inlineStr">
        <is>
          <t>AD</t>
        </is>
      </c>
      <c r="G80" s="9" t="n">
        <v>406</v>
      </c>
      <c r="H80" s="9" t="n">
        <v>365.4</v>
      </c>
      <c r="I80" s="12" t="n">
        <v>5086.37</v>
      </c>
      <c r="J80" s="9" t="n"/>
      <c r="K80" t="n">
        <v>49</v>
      </c>
      <c r="L80" s="15">
        <f>IF(J80="","",H80/J80)</f>
        <v/>
      </c>
      <c r="M80" t="inlineStr">
        <is>
          <t>İskontolu/net≠brüt</t>
        </is>
      </c>
    </row>
    <row r="81">
      <c r="A81" s="7" t="n">
        <v>46235</v>
      </c>
      <c r="B81" t="inlineStr">
        <is>
          <t>A00000000257001</t>
        </is>
      </c>
      <c r="C81" t="inlineStr">
        <is>
          <t>GUS089</t>
        </is>
      </c>
      <c r="D81" t="inlineStr">
        <is>
          <t>GUSSE ŞURUP 0,70LT HİNDİSTAN CEVİZİ</t>
        </is>
      </c>
      <c r="E81" s="8" t="n">
        <v>6</v>
      </c>
      <c r="F81" t="inlineStr">
        <is>
          <t>AD</t>
        </is>
      </c>
      <c r="G81" s="9" t="n">
        <v>406</v>
      </c>
      <c r="H81" s="9" t="n">
        <v>406</v>
      </c>
      <c r="I81" s="12" t="n">
        <v>2825.76</v>
      </c>
      <c r="J81" s="9" t="n"/>
      <c r="K81" t="n">
        <v>48</v>
      </c>
      <c r="L81" s="15">
        <f>IF(J81="","",H81/J81)</f>
        <v/>
      </c>
      <c r="M81" t="inlineStr"/>
    </row>
    <row r="82">
      <c r="A82" s="7" t="n">
        <v>46245</v>
      </c>
      <c r="B82" t="inlineStr">
        <is>
          <t>A00000000257665</t>
        </is>
      </c>
      <c r="C82" t="inlineStr">
        <is>
          <t>GUS089</t>
        </is>
      </c>
      <c r="D82" t="inlineStr">
        <is>
          <t>GUSSE ŞURUP 0,70LT HİNDİSTAN CEVİZİ</t>
        </is>
      </c>
      <c r="E82" s="8" t="n">
        <v>6</v>
      </c>
      <c r="F82" t="inlineStr">
        <is>
          <t>AD</t>
        </is>
      </c>
      <c r="G82" s="9" t="n">
        <v>406</v>
      </c>
      <c r="H82" s="9" t="n">
        <v>406</v>
      </c>
      <c r="I82" s="12" t="n">
        <v>2825.76</v>
      </c>
      <c r="J82" s="9" t="n"/>
      <c r="K82" t="n">
        <v>48</v>
      </c>
      <c r="L82" s="15">
        <f>IF(J82="","",H82/J82)</f>
        <v/>
      </c>
      <c r="M82" t="inlineStr"/>
    </row>
    <row r="83">
      <c r="A83" s="7" t="n">
        <v>46253</v>
      </c>
      <c r="B83" t="inlineStr">
        <is>
          <t>A00000000258248</t>
        </is>
      </c>
      <c r="C83" t="inlineStr">
        <is>
          <t>GUS105</t>
        </is>
      </c>
      <c r="D83" t="inlineStr">
        <is>
          <t>GUSSE MEY.PÜRE 1,1LT  ŞEFTALİ</t>
        </is>
      </c>
      <c r="E83" s="8" t="n">
        <v>2</v>
      </c>
      <c r="F83" t="inlineStr">
        <is>
          <t>AD</t>
        </is>
      </c>
      <c r="G83" s="9" t="n">
        <v>660</v>
      </c>
      <c r="H83" s="9" t="n">
        <v>660</v>
      </c>
      <c r="I83" s="12" t="n">
        <v>1386</v>
      </c>
      <c r="J83" s="9" t="n"/>
      <c r="K83" t="n">
        <v>48</v>
      </c>
      <c r="L83" s="15">
        <f>IF(J83="","",H83/J83)</f>
        <v/>
      </c>
      <c r="M83" t="inlineStr"/>
    </row>
    <row r="84">
      <c r="A84" s="7" t="n">
        <v>46240</v>
      </c>
      <c r="B84" t="inlineStr">
        <is>
          <t>A00000000257288</t>
        </is>
      </c>
      <c r="C84" t="inlineStr">
        <is>
          <t>GUS122</t>
        </is>
      </c>
      <c r="D84" t="inlineStr">
        <is>
          <t>GUSSE MEY.PÜRE 1,1LT  FRAMBUAZ</t>
        </is>
      </c>
      <c r="E84" s="8" t="n">
        <v>2</v>
      </c>
      <c r="F84" t="inlineStr">
        <is>
          <t>AD</t>
        </is>
      </c>
      <c r="G84" s="9" t="n">
        <v>660</v>
      </c>
      <c r="H84" s="9" t="n">
        <v>660</v>
      </c>
      <c r="I84" s="12" t="n">
        <v>1386</v>
      </c>
      <c r="J84" s="9" t="n"/>
      <c r="K84" t="n">
        <v>48</v>
      </c>
      <c r="L84" s="15">
        <f>IF(J84="","",H84/J84)</f>
        <v/>
      </c>
      <c r="M84" t="inlineStr"/>
    </row>
    <row r="85">
      <c r="A85" s="7" t="n">
        <v>46235</v>
      </c>
      <c r="B85" t="inlineStr">
        <is>
          <t>A00000000256933</t>
        </is>
      </c>
      <c r="C85" t="inlineStr">
        <is>
          <t>GUS123</t>
        </is>
      </c>
      <c r="D85" t="inlineStr">
        <is>
          <t>GUSSE MEY.PÜRE 1,1LT  BÖĞÜRTLEN</t>
        </is>
      </c>
      <c r="E85" s="8" t="n">
        <v>1</v>
      </c>
      <c r="F85" t="inlineStr">
        <is>
          <t>AD</t>
        </is>
      </c>
      <c r="G85" s="9" t="n">
        <v>660</v>
      </c>
      <c r="H85" s="9" t="n">
        <v>660</v>
      </c>
      <c r="I85" s="12" t="n">
        <v>693</v>
      </c>
      <c r="J85" s="9" t="n"/>
      <c r="K85" t="n">
        <v>48</v>
      </c>
      <c r="L85" s="15">
        <f>IF(J85="","",H85/J85)</f>
        <v/>
      </c>
      <c r="M85" t="inlineStr"/>
    </row>
    <row r="86">
      <c r="A86" s="7" t="n">
        <v>46245</v>
      </c>
      <c r="B86" t="inlineStr">
        <is>
          <t>A00000000257725</t>
        </is>
      </c>
      <c r="C86" t="inlineStr">
        <is>
          <t>GUS128</t>
        </is>
      </c>
      <c r="D86" t="inlineStr">
        <is>
          <t>GUSSE MEY.PÜRE 1,1LT  ÇARKIFELEK (PASSİON FRUİT)</t>
        </is>
      </c>
      <c r="E86" s="8" t="n">
        <v>2</v>
      </c>
      <c r="F86" t="inlineStr">
        <is>
          <t>AD</t>
        </is>
      </c>
      <c r="G86" s="9" t="n">
        <v>660</v>
      </c>
      <c r="H86" s="9" t="n">
        <v>660</v>
      </c>
      <c r="I86" s="12" t="n">
        <v>1386</v>
      </c>
      <c r="J86" s="9" t="n"/>
      <c r="K86" t="n">
        <v>48</v>
      </c>
      <c r="L86" s="15">
        <f>IF(J86="","",H86/J86)</f>
        <v/>
      </c>
      <c r="M86" t="inlineStr"/>
    </row>
    <row r="87">
      <c r="A87" s="7" t="n">
        <v>46235</v>
      </c>
      <c r="B87" t="inlineStr">
        <is>
          <t>A00000000256933</t>
        </is>
      </c>
      <c r="C87" t="inlineStr">
        <is>
          <t>GUS129</t>
        </is>
      </c>
      <c r="D87" t="inlineStr">
        <is>
          <t>GUSSE MEY.PÜRE 1,1LT  HİNDİSTAN CEVİZİ</t>
        </is>
      </c>
      <c r="E87" s="8" t="n">
        <v>1</v>
      </c>
      <c r="F87" t="inlineStr">
        <is>
          <t>AD</t>
        </is>
      </c>
      <c r="G87" s="9" t="n">
        <v>660</v>
      </c>
      <c r="H87" s="9" t="n">
        <v>660</v>
      </c>
      <c r="I87" s="12" t="n">
        <v>693</v>
      </c>
      <c r="J87" s="9" t="n"/>
      <c r="K87" t="n">
        <v>48</v>
      </c>
      <c r="L87" s="15">
        <f>IF(J87="","",H87/J87)</f>
        <v/>
      </c>
      <c r="M87" t="inlineStr"/>
    </row>
    <row r="88">
      <c r="A88" s="7" t="n">
        <v>46245</v>
      </c>
      <c r="B88" t="inlineStr">
        <is>
          <t>A00000000257725</t>
        </is>
      </c>
      <c r="C88" t="inlineStr">
        <is>
          <t>GUS129</t>
        </is>
      </c>
      <c r="D88" t="inlineStr">
        <is>
          <t>GUSSE MEY.PÜRE 1,1LT  HİNDİSTAN CEVİZİ</t>
        </is>
      </c>
      <c r="E88" s="8" t="n">
        <v>2</v>
      </c>
      <c r="F88" t="inlineStr">
        <is>
          <t>AD</t>
        </is>
      </c>
      <c r="G88" s="9" t="n">
        <v>660</v>
      </c>
      <c r="H88" s="9" t="n">
        <v>660</v>
      </c>
      <c r="I88" s="12" t="n">
        <v>1386</v>
      </c>
      <c r="J88" s="9" t="n"/>
      <c r="K88" t="n">
        <v>48</v>
      </c>
      <c r="L88" s="15">
        <f>IF(J88="","",H88/J88)</f>
        <v/>
      </c>
      <c r="M88" t="inlineStr"/>
    </row>
    <row r="89">
      <c r="A89" s="7" t="n">
        <v>46302</v>
      </c>
      <c r="B89" t="inlineStr">
        <is>
          <t>A00000000262235</t>
        </is>
      </c>
      <c r="C89" t="inlineStr">
        <is>
          <t>GUS170</t>
        </is>
      </c>
      <c r="D89" t="inlineStr">
        <is>
          <t>GUSSE TOZ İÇECEK 1KG  SICAK ÇİKOLATA</t>
        </is>
      </c>
      <c r="E89" s="8" t="n">
        <v>4</v>
      </c>
      <c r="F89" t="inlineStr">
        <is>
          <t>AD</t>
        </is>
      </c>
      <c r="G89" s="9" t="n">
        <v>700</v>
      </c>
      <c r="H89" s="9" t="n">
        <v>700</v>
      </c>
      <c r="I89" s="12" t="n">
        <v>3080</v>
      </c>
      <c r="J89" s="9" t="n"/>
      <c r="K89" t="n">
        <v>49</v>
      </c>
      <c r="L89" s="15">
        <f>IF(J89="","",H89/J89)</f>
        <v/>
      </c>
      <c r="M89" t="inlineStr"/>
    </row>
    <row r="90">
      <c r="A90" s="7" t="n">
        <v>46315</v>
      </c>
      <c r="B90" t="inlineStr">
        <is>
          <t>A00000000263385</t>
        </is>
      </c>
      <c r="C90" t="inlineStr">
        <is>
          <t>GUS170</t>
        </is>
      </c>
      <c r="D90" t="inlineStr">
        <is>
          <t>GUSSE TOZ İÇECEK 1KG  SICAK ÇİKOLATA</t>
        </is>
      </c>
      <c r="E90" s="8" t="n">
        <v>6</v>
      </c>
      <c r="F90" t="inlineStr">
        <is>
          <t>AD</t>
        </is>
      </c>
      <c r="G90" s="9" t="n">
        <v>700</v>
      </c>
      <c r="H90" s="9" t="n">
        <v>700</v>
      </c>
      <c r="I90" s="12" t="n">
        <v>4620</v>
      </c>
      <c r="J90" s="9" t="n"/>
      <c r="K90" t="n">
        <v>50</v>
      </c>
      <c r="L90" s="15">
        <f>IF(J90="","",H90/J90)</f>
        <v/>
      </c>
      <c r="M90" t="inlineStr"/>
    </row>
    <row r="91">
      <c r="A91" s="7" t="n">
        <v>46210</v>
      </c>
      <c r="B91" t="inlineStr">
        <is>
          <t>A00000000255017</t>
        </is>
      </c>
      <c r="C91" t="inlineStr">
        <is>
          <t>GUS175</t>
        </is>
      </c>
      <c r="D91" t="inlineStr">
        <is>
          <t>GUSSE TOZ İÇECEK 1KG  CHAİ TEA</t>
        </is>
      </c>
      <c r="E91" s="8" t="n">
        <v>5</v>
      </c>
      <c r="F91" t="inlineStr">
        <is>
          <t>AD</t>
        </is>
      </c>
      <c r="G91" s="9" t="n">
        <v>480</v>
      </c>
      <c r="H91" s="9" t="n">
        <v>480</v>
      </c>
      <c r="I91" s="12" t="n">
        <v>2784</v>
      </c>
      <c r="J91" s="9" t="n"/>
      <c r="K91" t="n">
        <v>47</v>
      </c>
      <c r="L91" s="15">
        <f>IF(J91="","",H91/J91)</f>
        <v/>
      </c>
      <c r="M91" t="inlineStr"/>
    </row>
    <row r="92">
      <c r="A92" s="7" t="n">
        <v>46301</v>
      </c>
      <c r="B92" t="inlineStr">
        <is>
          <t>A00000000262148</t>
        </is>
      </c>
      <c r="C92" t="inlineStr">
        <is>
          <t>GUS190</t>
        </is>
      </c>
      <c r="D92" t="inlineStr">
        <is>
          <t>GUSSTEA   ADA ÇAYI  100G</t>
        </is>
      </c>
      <c r="E92" s="8" t="n">
        <v>4</v>
      </c>
      <c r="F92" t="inlineStr">
        <is>
          <t>AD</t>
        </is>
      </c>
      <c r="G92" s="9" t="n">
        <v>280.37</v>
      </c>
      <c r="H92" s="9" t="n">
        <v>280.37</v>
      </c>
      <c r="I92" s="12" t="n">
        <v>1177.55</v>
      </c>
      <c r="J92" s="9" t="n"/>
      <c r="K92" t="n">
        <v>49</v>
      </c>
      <c r="L92" s="15">
        <f>IF(J92="","",H92/J92)</f>
        <v/>
      </c>
      <c r="M92" t="inlineStr"/>
    </row>
    <row r="93">
      <c r="A93" s="7" t="n">
        <v>46301</v>
      </c>
      <c r="B93" t="inlineStr">
        <is>
          <t>A00000000262148</t>
        </is>
      </c>
      <c r="C93" t="inlineStr">
        <is>
          <t>GUS191</t>
        </is>
      </c>
      <c r="D93" t="inlineStr">
        <is>
          <t>GUSSTEA   KUŞBURNU 350G</t>
        </is>
      </c>
      <c r="E93" s="8" t="n">
        <v>4</v>
      </c>
      <c r="F93" t="inlineStr">
        <is>
          <t>AD</t>
        </is>
      </c>
      <c r="G93" s="9" t="n">
        <v>489.325</v>
      </c>
      <c r="H93" s="9" t="n">
        <v>489.325</v>
      </c>
      <c r="I93" s="12" t="n">
        <v>2055.17</v>
      </c>
      <c r="J93" s="9" t="n"/>
      <c r="K93" t="n">
        <v>49</v>
      </c>
      <c r="L93" s="15">
        <f>IF(J93="","",H93/J93)</f>
        <v/>
      </c>
      <c r="M93" t="inlineStr"/>
    </row>
    <row r="94">
      <c r="A94" s="7" t="n">
        <v>46301</v>
      </c>
      <c r="B94" t="inlineStr">
        <is>
          <t>A00000000262148</t>
        </is>
      </c>
      <c r="C94" t="inlineStr">
        <is>
          <t>GUS192</t>
        </is>
      </c>
      <c r="D94" t="inlineStr">
        <is>
          <t>GUSSTEA   PAPATYA 100G</t>
        </is>
      </c>
      <c r="E94" s="8" t="n">
        <v>4</v>
      </c>
      <c r="F94" t="inlineStr">
        <is>
          <t>AD</t>
        </is>
      </c>
      <c r="G94" s="9" t="n">
        <v>436.425</v>
      </c>
      <c r="H94" s="9" t="n">
        <v>436.425</v>
      </c>
      <c r="I94" s="12" t="n">
        <v>1832.99</v>
      </c>
      <c r="J94" s="9" t="n"/>
      <c r="K94" t="n">
        <v>49</v>
      </c>
      <c r="L94" s="15">
        <f>IF(J94="","",H94/J94)</f>
        <v/>
      </c>
      <c r="M94" t="inlineStr"/>
    </row>
    <row r="95">
      <c r="A95" s="7" t="n">
        <v>46204</v>
      </c>
      <c r="B95" t="inlineStr">
        <is>
          <t>A00000000254474</t>
        </is>
      </c>
      <c r="C95" t="inlineStr">
        <is>
          <t>GUS193</t>
        </is>
      </c>
      <c r="D95" t="inlineStr">
        <is>
          <t>GUSSTEA   IHLAMUR 100G</t>
        </is>
      </c>
      <c r="E95" s="8" t="n">
        <v>1</v>
      </c>
      <c r="F95" t="inlineStr">
        <is>
          <t>AD</t>
        </is>
      </c>
      <c r="G95" s="9" t="n">
        <v>1084.45</v>
      </c>
      <c r="H95" s="9" t="n">
        <v>1084.45</v>
      </c>
      <c r="I95" s="12" t="n">
        <v>1138.67</v>
      </c>
      <c r="J95" s="9" t="n"/>
      <c r="K95" t="n">
        <v>47</v>
      </c>
      <c r="L95" s="15">
        <f>IF(J95="","",H95/J95)</f>
        <v/>
      </c>
      <c r="M95" t="inlineStr"/>
    </row>
    <row r="96">
      <c r="A96" s="7" t="n">
        <v>46301</v>
      </c>
      <c r="B96" t="inlineStr">
        <is>
          <t>A00000000262148</t>
        </is>
      </c>
      <c r="C96" t="inlineStr">
        <is>
          <t>GUS193</t>
        </is>
      </c>
      <c r="D96" t="inlineStr">
        <is>
          <t>GUSSTEA   IHLAMUR 100G</t>
        </is>
      </c>
      <c r="E96" s="8" t="n">
        <v>4</v>
      </c>
      <c r="F96" t="inlineStr">
        <is>
          <t>AD</t>
        </is>
      </c>
      <c r="G96" s="9" t="n">
        <v>1084.45</v>
      </c>
      <c r="H96" s="9" t="n">
        <v>1084.45</v>
      </c>
      <c r="I96" s="12" t="n">
        <v>4554.69</v>
      </c>
      <c r="J96" s="9" t="n"/>
      <c r="K96" t="n">
        <v>49</v>
      </c>
      <c r="L96" s="15">
        <f>IF(J96="","",H96/J96)</f>
        <v/>
      </c>
      <c r="M96" t="inlineStr"/>
    </row>
    <row r="97">
      <c r="A97" s="7" t="n">
        <v>46301</v>
      </c>
      <c r="B97" t="inlineStr">
        <is>
          <t>A00000000262148</t>
        </is>
      </c>
      <c r="C97" t="inlineStr">
        <is>
          <t>GUS194</t>
        </is>
      </c>
      <c r="D97" t="inlineStr">
        <is>
          <t>GUSSTEA   KIŞ ÇAYI 350G</t>
        </is>
      </c>
      <c r="E97" s="8" t="n">
        <v>4</v>
      </c>
      <c r="F97" t="inlineStr">
        <is>
          <t>AD</t>
        </is>
      </c>
      <c r="G97" s="9" t="n">
        <v>560.74</v>
      </c>
      <c r="H97" s="9" t="n">
        <v>560.74</v>
      </c>
      <c r="I97" s="12" t="n">
        <v>2355.11</v>
      </c>
      <c r="J97" s="9" t="n"/>
      <c r="K97" t="n">
        <v>49</v>
      </c>
      <c r="L97" s="15">
        <f>IF(J97="","",H97/J97)</f>
        <v/>
      </c>
      <c r="M97" t="inlineStr"/>
    </row>
    <row r="98">
      <c r="A98" s="7" t="n">
        <v>46204</v>
      </c>
      <c r="B98" t="inlineStr">
        <is>
          <t>A00000000254474</t>
        </is>
      </c>
      <c r="C98" t="inlineStr">
        <is>
          <t>GUS195</t>
        </is>
      </c>
      <c r="D98" t="inlineStr">
        <is>
          <t>GUSSTEA   YEŞİL ÇAY 250G</t>
        </is>
      </c>
      <c r="E98" s="8" t="n">
        <v>1</v>
      </c>
      <c r="F98" t="inlineStr">
        <is>
          <t>AD</t>
        </is>
      </c>
      <c r="G98" s="9" t="n">
        <v>462.875</v>
      </c>
      <c r="H98" s="9" t="n">
        <v>462.88</v>
      </c>
      <c r="I98" s="12" t="n">
        <v>486.02</v>
      </c>
      <c r="J98" s="9" t="n"/>
      <c r="K98" t="n">
        <v>47</v>
      </c>
      <c r="L98" s="15">
        <f>IF(J98="","",H98/J98)</f>
        <v/>
      </c>
      <c r="M98" t="inlineStr"/>
    </row>
    <row r="99">
      <c r="A99" s="7" t="n">
        <v>46256</v>
      </c>
      <c r="B99" t="inlineStr">
        <is>
          <t>A00000000258550</t>
        </is>
      </c>
      <c r="C99" t="inlineStr">
        <is>
          <t>GUS195</t>
        </is>
      </c>
      <c r="D99" t="inlineStr">
        <is>
          <t>GUSSTEA   YEŞİL ÇAY 250G</t>
        </is>
      </c>
      <c r="E99" s="8" t="n">
        <v>1</v>
      </c>
      <c r="F99" t="inlineStr">
        <is>
          <t>AD</t>
        </is>
      </c>
      <c r="G99" s="9" t="n">
        <v>509.16</v>
      </c>
      <c r="H99" s="9" t="n">
        <v>458.2417</v>
      </c>
      <c r="I99" s="12" t="n">
        <v>481.15</v>
      </c>
      <c r="J99" s="9" t="n"/>
      <c r="K99" t="n">
        <v>48</v>
      </c>
      <c r="L99" s="15">
        <f>IF(J99="","",H99/J99)</f>
        <v/>
      </c>
      <c r="M99" t="inlineStr">
        <is>
          <t>İskontolu/net≠brüt</t>
        </is>
      </c>
    </row>
    <row r="100">
      <c r="A100" s="7" t="n">
        <v>46301</v>
      </c>
      <c r="B100" t="inlineStr">
        <is>
          <t>A00000000262148</t>
        </is>
      </c>
      <c r="C100" t="inlineStr">
        <is>
          <t>GUS195</t>
        </is>
      </c>
      <c r="D100" t="inlineStr">
        <is>
          <t>GUSSTEA   YEŞİL ÇAY 250G</t>
        </is>
      </c>
      <c r="E100" s="8" t="n">
        <v>4</v>
      </c>
      <c r="F100" t="inlineStr">
        <is>
          <t>AD</t>
        </is>
      </c>
      <c r="G100" s="9" t="n">
        <v>462.875</v>
      </c>
      <c r="H100" s="9" t="n">
        <v>462.875</v>
      </c>
      <c r="I100" s="12" t="n">
        <v>1944.08</v>
      </c>
      <c r="J100" s="9" t="n"/>
      <c r="K100" t="n">
        <v>49</v>
      </c>
      <c r="L100" s="15">
        <f>IF(J100="","",H100/J100)</f>
        <v/>
      </c>
      <c r="M100" t="inlineStr"/>
    </row>
    <row r="101">
      <c r="A101" s="7" t="n">
        <v>46256</v>
      </c>
      <c r="B101" t="inlineStr">
        <is>
          <t>A00000000258550</t>
        </is>
      </c>
      <c r="C101" t="inlineStr">
        <is>
          <t>GUS196</t>
        </is>
      </c>
      <c r="D101" t="inlineStr">
        <is>
          <t>GUSSTEA   ELMA TARÇIN 250G</t>
        </is>
      </c>
      <c r="E101" s="8" t="n">
        <v>1</v>
      </c>
      <c r="F101" t="inlineStr">
        <is>
          <t>AD</t>
        </is>
      </c>
      <c r="G101" s="9" t="n">
        <v>371</v>
      </c>
      <c r="H101" s="9" t="n">
        <v>333.8983</v>
      </c>
      <c r="I101" s="12" t="n">
        <v>350.59</v>
      </c>
      <c r="J101" s="9" t="n"/>
      <c r="K101" t="n">
        <v>48</v>
      </c>
      <c r="L101" s="15">
        <f>IF(J101="","",H101/J101)</f>
        <v/>
      </c>
      <c r="M101" t="inlineStr">
        <is>
          <t>İskontolu/net≠brüt</t>
        </is>
      </c>
    </row>
    <row r="102">
      <c r="A102" s="7" t="n">
        <v>46301</v>
      </c>
      <c r="B102" t="inlineStr">
        <is>
          <t>A00000000262148</t>
        </is>
      </c>
      <c r="C102" t="inlineStr">
        <is>
          <t>GUS196</t>
        </is>
      </c>
      <c r="D102" t="inlineStr">
        <is>
          <t>GUSSTEA   ELMA TARÇIN 250G</t>
        </is>
      </c>
      <c r="E102" s="8" t="n">
        <v>4</v>
      </c>
      <c r="F102" t="inlineStr">
        <is>
          <t>AD</t>
        </is>
      </c>
      <c r="G102" s="9" t="n">
        <v>337.2375</v>
      </c>
      <c r="H102" s="9" t="n">
        <v>337.2375</v>
      </c>
      <c r="I102" s="12" t="n">
        <v>1416.4</v>
      </c>
      <c r="J102" s="9" t="n"/>
      <c r="K102" t="n">
        <v>49</v>
      </c>
      <c r="L102" s="15">
        <f>IF(J102="","",H102/J102)</f>
        <v/>
      </c>
      <c r="M102" t="inlineStr"/>
    </row>
    <row r="103">
      <c r="A103" s="7" t="n">
        <v>46301</v>
      </c>
      <c r="B103" t="inlineStr">
        <is>
          <t>A00000000262148</t>
        </is>
      </c>
      <c r="C103" t="inlineStr">
        <is>
          <t>GUS197</t>
        </is>
      </c>
      <c r="D103" t="inlineStr">
        <is>
          <t>GUSSTEA   MELİSA ÇAYI 50G</t>
        </is>
      </c>
      <c r="E103" s="8" t="n">
        <v>4</v>
      </c>
      <c r="F103" t="inlineStr">
        <is>
          <t>AD</t>
        </is>
      </c>
      <c r="G103" s="9" t="n">
        <v>357.075</v>
      </c>
      <c r="H103" s="9" t="n">
        <v>357.075</v>
      </c>
      <c r="I103" s="12" t="n">
        <v>1499.72</v>
      </c>
      <c r="J103" s="9" t="n"/>
      <c r="K103" t="n">
        <v>49</v>
      </c>
      <c r="L103" s="15">
        <f>IF(J103="","",H103/J103)</f>
        <v/>
      </c>
      <c r="M103" t="inlineStr"/>
    </row>
    <row r="104">
      <c r="A104" s="7" t="n">
        <v>46301</v>
      </c>
      <c r="B104" t="inlineStr">
        <is>
          <t>A00000000262148</t>
        </is>
      </c>
      <c r="C104" t="inlineStr">
        <is>
          <t>GUS198</t>
        </is>
      </c>
      <c r="D104" t="inlineStr">
        <is>
          <t>GUSSTEA   REZENE 350G</t>
        </is>
      </c>
      <c r="E104" s="8" t="n">
        <v>4</v>
      </c>
      <c r="F104" t="inlineStr">
        <is>
          <t>AD</t>
        </is>
      </c>
      <c r="G104" s="9" t="n">
        <v>515.775</v>
      </c>
      <c r="H104" s="9" t="n">
        <v>515.775</v>
      </c>
      <c r="I104" s="12" t="n">
        <v>2166.26</v>
      </c>
      <c r="J104" s="9" t="n"/>
      <c r="K104" t="n">
        <v>49</v>
      </c>
      <c r="L104" s="15">
        <f>IF(J104="","",H104/J104)</f>
        <v/>
      </c>
      <c r="M104" t="inlineStr"/>
    </row>
    <row r="105">
      <c r="A105" s="7" t="n">
        <v>46301</v>
      </c>
      <c r="B105" t="inlineStr">
        <is>
          <t>A00000000262148</t>
        </is>
      </c>
      <c r="C105" t="inlineStr">
        <is>
          <t>GUS200</t>
        </is>
      </c>
      <c r="D105" t="inlineStr">
        <is>
          <t>GUSSTEA   NANE LİMON  250G</t>
        </is>
      </c>
      <c r="E105" s="8" t="n">
        <v>4</v>
      </c>
      <c r="F105" t="inlineStr">
        <is>
          <t>AD</t>
        </is>
      </c>
      <c r="G105" s="9" t="n">
        <v>462.875</v>
      </c>
      <c r="H105" s="9" t="n">
        <v>462.875</v>
      </c>
      <c r="I105" s="12" t="n">
        <v>1944.08</v>
      </c>
      <c r="J105" s="9" t="n"/>
      <c r="K105" t="n">
        <v>49</v>
      </c>
      <c r="L105" s="15">
        <f>IF(J105="","",H105/J105)</f>
        <v/>
      </c>
      <c r="M105" t="inlineStr"/>
    </row>
    <row r="106">
      <c r="A106" s="7" t="n">
        <v>46231</v>
      </c>
      <c r="B106" t="inlineStr">
        <is>
          <t>A00000000256596</t>
        </is>
      </c>
      <c r="C106" t="inlineStr">
        <is>
          <t>IMP005</t>
        </is>
      </c>
      <c r="D106" t="inlineStr">
        <is>
          <t>CAM KAVANOZ +KAPAK 300 CC</t>
        </is>
      </c>
      <c r="E106" s="8" t="n">
        <v>100</v>
      </c>
      <c r="F106" t="inlineStr">
        <is>
          <t>AD</t>
        </is>
      </c>
      <c r="G106" s="9" t="n">
        <v>22.5934</v>
      </c>
      <c r="H106" s="9" t="n">
        <v>22.5934</v>
      </c>
      <c r="I106" s="12" t="n">
        <v>2372.31</v>
      </c>
      <c r="J106" s="9" t="n">
        <v>0.4707</v>
      </c>
      <c r="K106" t="n">
        <v>48</v>
      </c>
      <c r="L106" s="15">
        <f>IF(J106="","",H106/J106)</f>
        <v/>
      </c>
      <c r="M106" t="inlineStr"/>
    </row>
    <row r="107">
      <c r="A107" s="7" t="n">
        <v>46238</v>
      </c>
      <c r="B107" t="inlineStr">
        <is>
          <t>A00000000257116</t>
        </is>
      </c>
      <c r="C107" t="inlineStr">
        <is>
          <t>IMP005</t>
        </is>
      </c>
      <c r="D107" t="inlineStr">
        <is>
          <t>CAM KAVANOZ +KAPAK 300 CC</t>
        </is>
      </c>
      <c r="E107" s="8" t="n">
        <v>100</v>
      </c>
      <c r="F107" t="inlineStr">
        <is>
          <t>AD</t>
        </is>
      </c>
      <c r="G107" s="9" t="n">
        <v>22.5934</v>
      </c>
      <c r="H107" s="9" t="n">
        <v>22.5934</v>
      </c>
      <c r="I107" s="12" t="n">
        <v>2372.31</v>
      </c>
      <c r="J107" s="9" t="n">
        <v>0.4707</v>
      </c>
      <c r="K107" t="n">
        <v>48</v>
      </c>
      <c r="L107" s="15">
        <f>IF(J107="","",H107/J107)</f>
        <v/>
      </c>
      <c r="M107" t="inlineStr"/>
    </row>
    <row r="108">
      <c r="A108" s="7" t="n">
        <v>46281</v>
      </c>
      <c r="B108" t="inlineStr">
        <is>
          <t>A00000000260500</t>
        </is>
      </c>
      <c r="C108" t="inlineStr">
        <is>
          <t>IMP005</t>
        </is>
      </c>
      <c r="D108" t="inlineStr">
        <is>
          <t>CAM KAVANOZ +KAPAK 300 CC</t>
        </is>
      </c>
      <c r="E108" s="8" t="n">
        <v>100</v>
      </c>
      <c r="F108" t="inlineStr">
        <is>
          <t>AD</t>
        </is>
      </c>
      <c r="G108" s="9" t="n">
        <v>23.0641</v>
      </c>
      <c r="H108" s="9" t="n">
        <v>23.0641</v>
      </c>
      <c r="I108" s="12" t="n">
        <v>2421.73</v>
      </c>
      <c r="J108" s="9" t="n">
        <v>0.4707</v>
      </c>
      <c r="K108" t="n">
        <v>49</v>
      </c>
      <c r="L108" s="15">
        <f>IF(J108="","",H108/J108)</f>
        <v/>
      </c>
      <c r="M108" t="inlineStr"/>
    </row>
    <row r="109">
      <c r="A109" s="7" t="n">
        <v>46296</v>
      </c>
      <c r="B109" t="inlineStr">
        <is>
          <t>A00000000261821</t>
        </is>
      </c>
      <c r="C109" t="inlineStr">
        <is>
          <t>IMP005</t>
        </is>
      </c>
      <c r="D109" t="inlineStr">
        <is>
          <t>CAM KAVANOZ +KAPAK 300 CC</t>
        </is>
      </c>
      <c r="E109" s="8" t="n">
        <v>100</v>
      </c>
      <c r="F109" t="inlineStr">
        <is>
          <t>AD</t>
        </is>
      </c>
      <c r="G109" s="9" t="n">
        <v>23.0641</v>
      </c>
      <c r="H109" s="9" t="n">
        <v>23.0641</v>
      </c>
      <c r="I109" s="12" t="n">
        <v>2421.73</v>
      </c>
      <c r="J109" s="9" t="n">
        <v>0.4707</v>
      </c>
      <c r="K109" t="n">
        <v>49</v>
      </c>
      <c r="L109" s="15">
        <f>IF(J109="","",H109/J109)</f>
        <v/>
      </c>
      <c r="M109" t="inlineStr"/>
    </row>
    <row r="110">
      <c r="A110" s="7" t="n">
        <v>46218</v>
      </c>
      <c r="B110" t="inlineStr">
        <is>
          <t>A00000000255479</t>
        </is>
      </c>
      <c r="C110" t="inlineStr">
        <is>
          <t>KRK038</t>
        </is>
      </c>
      <c r="D110" t="inlineStr">
        <is>
          <t>ÇÖP ŞİŞ 25 CM PK/100  KL/200PK</t>
        </is>
      </c>
      <c r="E110" s="8" t="n">
        <v>20</v>
      </c>
      <c r="F110" t="inlineStr">
        <is>
          <t>PK</t>
        </is>
      </c>
      <c r="G110" s="9" t="n">
        <v>36.432</v>
      </c>
      <c r="H110" s="9" t="n">
        <v>36.432</v>
      </c>
      <c r="I110" s="12" t="n">
        <v>845.22</v>
      </c>
      <c r="J110" s="9" t="n">
        <v>0.759</v>
      </c>
      <c r="K110" t="n">
        <v>48</v>
      </c>
      <c r="L110" s="15">
        <f>IF(J110="","",H110/J110)</f>
        <v/>
      </c>
      <c r="M110" t="inlineStr"/>
    </row>
    <row r="111">
      <c r="A111" s="7" t="n">
        <v>46238</v>
      </c>
      <c r="B111" t="inlineStr">
        <is>
          <t>A00000000257116</t>
        </is>
      </c>
      <c r="C111" t="inlineStr">
        <is>
          <t>KRK038</t>
        </is>
      </c>
      <c r="D111" t="inlineStr">
        <is>
          <t>ÇÖP ŞİŞ 25 CM PK/100  KL/200PK</t>
        </is>
      </c>
      <c r="E111" s="8" t="n">
        <v>20</v>
      </c>
      <c r="F111" t="inlineStr">
        <is>
          <t>PK</t>
        </is>
      </c>
      <c r="G111" s="9" t="n">
        <v>36.432</v>
      </c>
      <c r="H111" s="9" t="n">
        <v>36.432</v>
      </c>
      <c r="I111" s="12" t="n">
        <v>845.22</v>
      </c>
      <c r="J111" s="9" t="n">
        <v>0.759</v>
      </c>
      <c r="K111" t="n">
        <v>48</v>
      </c>
      <c r="L111" s="15">
        <f>IF(J111="","",H111/J111)</f>
        <v/>
      </c>
      <c r="M111" t="inlineStr"/>
    </row>
    <row r="112">
      <c r="A112" s="7" t="n">
        <v>46308</v>
      </c>
      <c r="B112" t="inlineStr">
        <is>
          <t>A00000000262812</t>
        </is>
      </c>
      <c r="C112" t="inlineStr">
        <is>
          <t>KRK038</t>
        </is>
      </c>
      <c r="D112" t="inlineStr">
        <is>
          <t>ÇÖP ŞİŞ 25 CM PK/100  KL/200PK</t>
        </is>
      </c>
      <c r="E112" s="8" t="n">
        <v>20</v>
      </c>
      <c r="F112" t="inlineStr">
        <is>
          <t>PK</t>
        </is>
      </c>
      <c r="G112" s="9" t="n">
        <v>37.95</v>
      </c>
      <c r="H112" s="9" t="n">
        <v>37.95</v>
      </c>
      <c r="I112" s="12" t="n">
        <v>880.4400000000001</v>
      </c>
      <c r="J112" s="9" t="n">
        <v>0.759</v>
      </c>
      <c r="K112" t="n">
        <v>50</v>
      </c>
      <c r="L112" s="15">
        <f>IF(J112="","",H112/J112)</f>
        <v/>
      </c>
      <c r="M112" t="inlineStr"/>
    </row>
    <row r="113">
      <c r="A113" s="7" t="n">
        <v>46228</v>
      </c>
      <c r="B113" t="inlineStr">
        <is>
          <t>C00000000220907</t>
        </is>
      </c>
      <c r="C113" t="inlineStr">
        <is>
          <t>LMR019</t>
        </is>
      </c>
      <c r="D113" t="inlineStr">
        <is>
          <t>L-420 YÜKSEK PASTA KAPAĞI L PK/50 KL/4PK</t>
        </is>
      </c>
      <c r="E113" s="8" t="n">
        <v>0.1</v>
      </c>
      <c r="F113" t="inlineStr">
        <is>
          <t>PK</t>
        </is>
      </c>
      <c r="G113" s="9" t="n">
        <v>1150</v>
      </c>
      <c r="H113" s="9" t="n">
        <v>1095.2381</v>
      </c>
      <c r="I113" s="12" t="n">
        <v>115</v>
      </c>
      <c r="J113" s="9" t="n">
        <v>23.95833</v>
      </c>
      <c r="K113" t="n">
        <v>48</v>
      </c>
      <c r="L113" s="15">
        <f>IF(J113="","",H113/J113)</f>
        <v/>
      </c>
      <c r="M113" t="inlineStr">
        <is>
          <t>KDV dahil fiyat girilmiş belge (M/C serisi) - net KDV hariç</t>
        </is>
      </c>
    </row>
    <row r="114">
      <c r="A114" s="7" t="n">
        <v>46228</v>
      </c>
      <c r="B114" t="inlineStr">
        <is>
          <t>C00000000220907</t>
        </is>
      </c>
      <c r="C114" t="inlineStr">
        <is>
          <t>LMR020</t>
        </is>
      </c>
      <c r="D114" t="inlineStr">
        <is>
          <t>L-425 PASTA KABI ALT L SİYAH  PK/50 KL/4PK</t>
        </is>
      </c>
      <c r="E114" s="8" t="n">
        <v>0.1</v>
      </c>
      <c r="F114" t="inlineStr">
        <is>
          <t>PK</t>
        </is>
      </c>
      <c r="G114" s="9" t="n">
        <v>900</v>
      </c>
      <c r="H114" s="9" t="n">
        <v>857.1429000000001</v>
      </c>
      <c r="I114" s="12" t="n">
        <v>90</v>
      </c>
      <c r="J114" s="9" t="n">
        <v>18.75</v>
      </c>
      <c r="K114" t="n">
        <v>48</v>
      </c>
      <c r="L114" s="15">
        <f>IF(J114="","",H114/J114)</f>
        <v/>
      </c>
      <c r="M114" t="inlineStr">
        <is>
          <t>KDV dahil fiyat girilmiş belge (M/C serisi) - net KDV hariç</t>
        </is>
      </c>
    </row>
    <row r="115">
      <c r="A115" s="7" t="n">
        <v>46308</v>
      </c>
      <c r="B115" t="inlineStr">
        <is>
          <t>A00000000262721</t>
        </is>
      </c>
      <c r="C115" t="inlineStr">
        <is>
          <t>LMR024</t>
        </is>
      </c>
      <c r="D115" t="inlineStr">
        <is>
          <t>L-ST1 SUSHİ (160X91) KAP+KAPAK PK/100 KL/4PK</t>
        </is>
      </c>
      <c r="E115" s="8" t="n">
        <v>3</v>
      </c>
      <c r="F115" t="inlineStr">
        <is>
          <t>PK</t>
        </is>
      </c>
      <c r="G115" s="9" t="n">
        <v>485</v>
      </c>
      <c r="H115" s="9" t="n">
        <v>485</v>
      </c>
      <c r="I115" s="12" t="n">
        <v>1527.75</v>
      </c>
      <c r="J115" s="9" t="n"/>
      <c r="K115" t="n">
        <v>50</v>
      </c>
      <c r="L115" s="15">
        <f>IF(J115="","",H115/J115)</f>
        <v/>
      </c>
      <c r="M115" t="inlineStr"/>
    </row>
    <row r="116">
      <c r="A116" s="7" t="n">
        <v>46308</v>
      </c>
      <c r="B116" t="inlineStr">
        <is>
          <t>A00000000262721</t>
        </is>
      </c>
      <c r="C116" t="inlineStr">
        <is>
          <t>LMR026</t>
        </is>
      </c>
      <c r="D116" t="inlineStr">
        <is>
          <t>L-ST5 SUSHİ (216X136) KAP+KAPAK PK/100 KL/4</t>
        </is>
      </c>
      <c r="E116" s="8" t="n">
        <v>3</v>
      </c>
      <c r="F116" t="inlineStr">
        <is>
          <t>PK</t>
        </is>
      </c>
      <c r="G116" s="9" t="n">
        <v>1000</v>
      </c>
      <c r="H116" s="9" t="n">
        <v>1000</v>
      </c>
      <c r="I116" s="12" t="n">
        <v>3150</v>
      </c>
      <c r="J116" s="9" t="n"/>
      <c r="K116" t="n">
        <v>50</v>
      </c>
      <c r="L116" s="15">
        <f>IF(J116="","",H116/J116)</f>
        <v/>
      </c>
      <c r="M116" t="inlineStr"/>
    </row>
    <row r="117">
      <c r="A117" s="7" t="n">
        <v>46238</v>
      </c>
      <c r="B117" t="inlineStr">
        <is>
          <t>A00000000257088</t>
        </is>
      </c>
      <c r="C117" t="inlineStr">
        <is>
          <t>LMR085</t>
        </is>
      </c>
      <c r="D117" t="inlineStr">
        <is>
          <t>L-500 SIZDIRMAZ APERATİF PET KAB Q76 PK/50AD KL/8PK</t>
        </is>
      </c>
      <c r="E117" s="8" t="n">
        <v>200</v>
      </c>
      <c r="F117" t="inlineStr">
        <is>
          <t>AD</t>
        </is>
      </c>
      <c r="G117" s="9" t="n">
        <v>10</v>
      </c>
      <c r="H117" s="9" t="n">
        <v>9.5238</v>
      </c>
      <c r="I117" s="12" t="n">
        <v>2000</v>
      </c>
      <c r="J117" s="9" t="n">
        <v>0.20833</v>
      </c>
      <c r="K117" t="n">
        <v>48</v>
      </c>
      <c r="L117" s="15">
        <f>IF(J117="","",H117/J117)</f>
        <v/>
      </c>
      <c r="M117" t="inlineStr">
        <is>
          <t>İskontolu/net≠brüt</t>
        </is>
      </c>
    </row>
    <row r="118">
      <c r="A118" s="7" t="n">
        <v>46204</v>
      </c>
      <c r="B118" t="inlineStr">
        <is>
          <t>A00000000254474</t>
        </is>
      </c>
      <c r="C118" t="inlineStr">
        <is>
          <t>MC01</t>
        </is>
      </c>
      <c r="D118" t="inlineStr">
        <is>
          <t>ÇATAL NİŞASTA BİO 165MM PK/100AD KL/16PK</t>
        </is>
      </c>
      <c r="E118" s="8" t="n">
        <v>16</v>
      </c>
      <c r="F118" t="inlineStr">
        <is>
          <t>PK</t>
        </is>
      </c>
      <c r="G118" s="9" t="n">
        <v>162.15</v>
      </c>
      <c r="H118" s="9" t="n">
        <v>162.15</v>
      </c>
      <c r="I118" s="12" t="n">
        <v>3009.5</v>
      </c>
      <c r="J118" s="9" t="n">
        <v>3.45</v>
      </c>
      <c r="K118" t="n">
        <v>47</v>
      </c>
      <c r="L118" s="15">
        <f>IF(J118="","",H118/J118)</f>
        <v/>
      </c>
      <c r="M118" t="inlineStr"/>
    </row>
    <row r="119">
      <c r="A119" s="7" t="n">
        <v>46210</v>
      </c>
      <c r="B119" t="inlineStr">
        <is>
          <t>A00000000255017</t>
        </is>
      </c>
      <c r="C119" t="inlineStr">
        <is>
          <t>MC01</t>
        </is>
      </c>
      <c r="D119" t="inlineStr">
        <is>
          <t>ÇATAL NİŞASTA BİO 165MM PK/100AD KL/16PK</t>
        </is>
      </c>
      <c r="E119" s="8" t="n">
        <v>32</v>
      </c>
      <c r="F119" t="inlineStr">
        <is>
          <t>PK</t>
        </is>
      </c>
      <c r="G119" s="9" t="n">
        <v>162.15</v>
      </c>
      <c r="H119" s="9" t="n">
        <v>162.15</v>
      </c>
      <c r="I119" s="12" t="n">
        <v>6019.01</v>
      </c>
      <c r="J119" s="9" t="n">
        <v>3.45</v>
      </c>
      <c r="K119" t="n">
        <v>47</v>
      </c>
      <c r="L119" s="15">
        <f>IF(J119="","",H119/J119)</f>
        <v/>
      </c>
      <c r="M119" t="inlineStr"/>
    </row>
    <row r="120">
      <c r="A120" s="7" t="n">
        <v>46218</v>
      </c>
      <c r="B120" t="inlineStr">
        <is>
          <t>A00000000255479</t>
        </is>
      </c>
      <c r="C120" t="inlineStr">
        <is>
          <t>MC01</t>
        </is>
      </c>
      <c r="D120" t="inlineStr">
        <is>
          <t>ÇATAL NİŞASTA BİO 165MM PK/100AD KL/16PK</t>
        </is>
      </c>
      <c r="E120" s="8" t="n">
        <v>16</v>
      </c>
      <c r="F120" t="inlineStr">
        <is>
          <t>PK</t>
        </is>
      </c>
      <c r="G120" s="9" t="n">
        <v>165.6</v>
      </c>
      <c r="H120" s="9" t="n">
        <v>165.6</v>
      </c>
      <c r="I120" s="12" t="n">
        <v>3073.54</v>
      </c>
      <c r="J120" s="9" t="n">
        <v>3.45</v>
      </c>
      <c r="K120" t="n">
        <v>48</v>
      </c>
      <c r="L120" s="15">
        <f>IF(J120="","",H120/J120)</f>
        <v/>
      </c>
      <c r="M120" t="inlineStr"/>
    </row>
    <row r="121">
      <c r="A121" s="7" t="n">
        <v>46204</v>
      </c>
      <c r="B121" t="inlineStr">
        <is>
          <t>A00000000254474</t>
        </is>
      </c>
      <c r="C121" t="inlineStr">
        <is>
          <t>MC02</t>
        </is>
      </c>
      <c r="D121" t="inlineStr">
        <is>
          <t>KAŞIK NİŞASTA BİO 168MM PK/100AD KL/12PK</t>
        </is>
      </c>
      <c r="E121" s="8" t="n">
        <v>12</v>
      </c>
      <c r="F121" t="inlineStr">
        <is>
          <t>PK</t>
        </is>
      </c>
      <c r="G121" s="9" t="n">
        <v>179.54</v>
      </c>
      <c r="H121" s="9" t="n">
        <v>179.54</v>
      </c>
      <c r="I121" s="12" t="n">
        <v>2499.2</v>
      </c>
      <c r="J121" s="9" t="n">
        <v>3.82</v>
      </c>
      <c r="K121" t="n">
        <v>47</v>
      </c>
      <c r="L121" s="15">
        <f>IF(J121="","",H121/J121)</f>
        <v/>
      </c>
      <c r="M121" t="inlineStr"/>
    </row>
    <row r="122">
      <c r="A122" s="7" t="n">
        <v>46210</v>
      </c>
      <c r="B122" t="inlineStr">
        <is>
          <t>A00000000255017</t>
        </is>
      </c>
      <c r="C122" t="inlineStr">
        <is>
          <t>MC02</t>
        </is>
      </c>
      <c r="D122" t="inlineStr">
        <is>
          <t>KAŞIK NİŞASTA BİO 168MM PK/100AD KL/12PK</t>
        </is>
      </c>
      <c r="E122" s="8" t="n">
        <v>24</v>
      </c>
      <c r="F122" t="inlineStr">
        <is>
          <t>PK</t>
        </is>
      </c>
      <c r="G122" s="9" t="n">
        <v>179.54</v>
      </c>
      <c r="H122" s="9" t="n">
        <v>179.54</v>
      </c>
      <c r="I122" s="12" t="n">
        <v>4998.39</v>
      </c>
      <c r="J122" s="9" t="n">
        <v>3.82</v>
      </c>
      <c r="K122" t="n">
        <v>47</v>
      </c>
      <c r="L122" s="15">
        <f>IF(J122="","",H122/J122)</f>
        <v/>
      </c>
      <c r="M122" t="inlineStr"/>
    </row>
    <row r="123">
      <c r="A123" s="7" t="n">
        <v>46224</v>
      </c>
      <c r="B123" t="inlineStr">
        <is>
          <t>A00000000256028</t>
        </is>
      </c>
      <c r="C123" t="inlineStr">
        <is>
          <t>MC02</t>
        </is>
      </c>
      <c r="D123" t="inlineStr">
        <is>
          <t>KAŞIK NİŞASTA BİO 168MM PK/100AD KL/12PK</t>
        </is>
      </c>
      <c r="E123" s="8" t="n">
        <v>12</v>
      </c>
      <c r="F123" t="inlineStr">
        <is>
          <t>PK</t>
        </is>
      </c>
      <c r="G123" s="9" t="n">
        <v>183.36</v>
      </c>
      <c r="H123" s="9" t="n">
        <v>183.36</v>
      </c>
      <c r="I123" s="12" t="n">
        <v>2552.37</v>
      </c>
      <c r="J123" s="9" t="n">
        <v>3.82</v>
      </c>
      <c r="K123" t="n">
        <v>48</v>
      </c>
      <c r="L123" s="15">
        <f>IF(J123="","",H123/J123)</f>
        <v/>
      </c>
      <c r="M123" t="inlineStr"/>
    </row>
    <row r="124">
      <c r="A124" s="7" t="n">
        <v>46227</v>
      </c>
      <c r="B124" t="inlineStr">
        <is>
          <t>A00000000256366</t>
        </is>
      </c>
      <c r="C124" t="inlineStr">
        <is>
          <t>MC02</t>
        </is>
      </c>
      <c r="D124" t="inlineStr">
        <is>
          <t>KAŞIK NİŞASTA BİO 168MM PK/100AD KL/12PK</t>
        </is>
      </c>
      <c r="E124" s="8" t="n">
        <v>24</v>
      </c>
      <c r="F124" t="inlineStr">
        <is>
          <t>PK</t>
        </is>
      </c>
      <c r="G124" s="9" t="n">
        <v>183.36</v>
      </c>
      <c r="H124" s="9" t="n">
        <v>183.36</v>
      </c>
      <c r="I124" s="12" t="n">
        <v>5104.74</v>
      </c>
      <c r="J124" s="9" t="n">
        <v>3.82</v>
      </c>
      <c r="K124" t="n">
        <v>48</v>
      </c>
      <c r="L124" s="15">
        <f>IF(J124="","",H124/J124)</f>
        <v/>
      </c>
      <c r="M124" t="inlineStr"/>
    </row>
    <row r="125">
      <c r="A125" s="7" t="n">
        <v>46232</v>
      </c>
      <c r="B125" t="inlineStr">
        <is>
          <t>A00000000256678</t>
        </is>
      </c>
      <c r="C125" t="inlineStr">
        <is>
          <t>MC02</t>
        </is>
      </c>
      <c r="D125" t="inlineStr">
        <is>
          <t>KAŞIK NİŞASTA BİO 168MM PK/100AD KL/12PK</t>
        </is>
      </c>
      <c r="E125" s="8" t="n">
        <v>24</v>
      </c>
      <c r="F125" t="inlineStr">
        <is>
          <t>PK</t>
        </is>
      </c>
      <c r="G125" s="9" t="n">
        <v>183.36</v>
      </c>
      <c r="H125" s="9" t="n">
        <v>183.36</v>
      </c>
      <c r="I125" s="12" t="n">
        <v>5104.74</v>
      </c>
      <c r="J125" s="9" t="n">
        <v>3.82</v>
      </c>
      <c r="K125" t="n">
        <v>48</v>
      </c>
      <c r="L125" s="15">
        <f>IF(J125="","",H125/J125)</f>
        <v/>
      </c>
      <c r="M125" t="inlineStr"/>
    </row>
    <row r="126">
      <c r="A126" s="7" t="n">
        <v>46238</v>
      </c>
      <c r="B126" t="inlineStr">
        <is>
          <t>A00000000257116</t>
        </is>
      </c>
      <c r="C126" t="inlineStr">
        <is>
          <t>MC02</t>
        </is>
      </c>
      <c r="D126" t="inlineStr">
        <is>
          <t>KAŞIK NİŞASTA BİO 168MM PK/100AD KL/12PK</t>
        </is>
      </c>
      <c r="E126" s="8" t="n">
        <v>24</v>
      </c>
      <c r="F126" t="inlineStr">
        <is>
          <t>PK</t>
        </is>
      </c>
      <c r="G126" s="9" t="n">
        <v>183.36</v>
      </c>
      <c r="H126" s="9" t="n">
        <v>183.36</v>
      </c>
      <c r="I126" s="12" t="n">
        <v>5104.74</v>
      </c>
      <c r="J126" s="9" t="n">
        <v>3.82</v>
      </c>
      <c r="K126" t="n">
        <v>48</v>
      </c>
      <c r="L126" s="15">
        <f>IF(J126="","",H126/J126)</f>
        <v/>
      </c>
      <c r="M126" t="inlineStr"/>
    </row>
    <row r="127">
      <c r="A127" s="7" t="n">
        <v>46252</v>
      </c>
      <c r="B127" t="inlineStr">
        <is>
          <t>A00000000258193</t>
        </is>
      </c>
      <c r="C127" t="inlineStr">
        <is>
          <t>MC02</t>
        </is>
      </c>
      <c r="D127" t="inlineStr">
        <is>
          <t>KAŞIK NİŞASTA BİO 168MM PK/100AD KL/12PK</t>
        </is>
      </c>
      <c r="E127" s="8" t="n">
        <v>24</v>
      </c>
      <c r="F127" t="inlineStr">
        <is>
          <t>PK</t>
        </is>
      </c>
      <c r="G127" s="9" t="n">
        <v>183.36</v>
      </c>
      <c r="H127" s="9" t="n">
        <v>183.36</v>
      </c>
      <c r="I127" s="12" t="n">
        <v>5104.74</v>
      </c>
      <c r="J127" s="9" t="n">
        <v>3.82</v>
      </c>
      <c r="K127" t="n">
        <v>48</v>
      </c>
      <c r="L127" s="15">
        <f>IF(J127="","",H127/J127)</f>
        <v/>
      </c>
      <c r="M127" t="inlineStr"/>
    </row>
    <row r="128">
      <c r="A128" s="7" t="n">
        <v>46267</v>
      </c>
      <c r="B128" t="inlineStr">
        <is>
          <t>A00000000259302</t>
        </is>
      </c>
      <c r="C128" t="inlineStr">
        <is>
          <t>MC02</t>
        </is>
      </c>
      <c r="D128" t="inlineStr">
        <is>
          <t>KAŞIK NİŞASTA BİO 168MM PK/100AD KL/12PK</t>
        </is>
      </c>
      <c r="E128" s="8" t="n">
        <v>48</v>
      </c>
      <c r="F128" t="inlineStr">
        <is>
          <t>PK</t>
        </is>
      </c>
      <c r="G128" s="9" t="n">
        <v>187.18</v>
      </c>
      <c r="H128" s="9" t="n">
        <v>187.18</v>
      </c>
      <c r="I128" s="12" t="n">
        <v>10422.18</v>
      </c>
      <c r="J128" s="9" t="n">
        <v>3.82</v>
      </c>
      <c r="K128" t="n">
        <v>49</v>
      </c>
      <c r="L128" s="15">
        <f>IF(J128="","",H128/J128)</f>
        <v/>
      </c>
      <c r="M128" t="inlineStr"/>
    </row>
    <row r="129">
      <c r="A129" s="7" t="n">
        <v>46296</v>
      </c>
      <c r="B129" t="inlineStr">
        <is>
          <t>A00000000261821</t>
        </is>
      </c>
      <c r="C129" t="inlineStr">
        <is>
          <t>MC02</t>
        </is>
      </c>
      <c r="D129" t="inlineStr">
        <is>
          <t>KAŞIK NİŞASTA BİO 168MM PK/100AD KL/12PK</t>
        </is>
      </c>
      <c r="E129" s="8" t="n">
        <v>24</v>
      </c>
      <c r="F129" t="inlineStr">
        <is>
          <t>PK</t>
        </is>
      </c>
      <c r="G129" s="9" t="n">
        <v>187.18</v>
      </c>
      <c r="H129" s="9" t="n">
        <v>187.18</v>
      </c>
      <c r="I129" s="12" t="n">
        <v>5211.09</v>
      </c>
      <c r="J129" s="9" t="n">
        <v>3.82</v>
      </c>
      <c r="K129" t="n">
        <v>49</v>
      </c>
      <c r="L129" s="15">
        <f>IF(J129="","",H129/J129)</f>
        <v/>
      </c>
      <c r="M129" t="inlineStr"/>
    </row>
    <row r="130">
      <c r="A130" s="7" t="n">
        <v>46315</v>
      </c>
      <c r="B130" t="inlineStr">
        <is>
          <t>A00000000263385</t>
        </is>
      </c>
      <c r="C130" t="inlineStr">
        <is>
          <t>MC02</t>
        </is>
      </c>
      <c r="D130" t="inlineStr">
        <is>
          <t>KAŞIK NİŞASTA BİO 168MM PK/100AD KL/12PK</t>
        </is>
      </c>
      <c r="E130" s="8" t="n">
        <v>12</v>
      </c>
      <c r="F130" t="inlineStr">
        <is>
          <t>PK</t>
        </is>
      </c>
      <c r="G130" s="9" t="n">
        <v>191</v>
      </c>
      <c r="H130" s="9" t="n">
        <v>191</v>
      </c>
      <c r="I130" s="12" t="n">
        <v>2658.72</v>
      </c>
      <c r="J130" s="9" t="n">
        <v>3.82</v>
      </c>
      <c r="K130" t="n">
        <v>50</v>
      </c>
      <c r="L130" s="15">
        <f>IF(J130="","",H130/J130)</f>
        <v/>
      </c>
      <c r="M130" t="inlineStr"/>
    </row>
    <row r="131">
      <c r="A131" s="7" t="n">
        <v>46206</v>
      </c>
      <c r="B131" t="inlineStr">
        <is>
          <t>A00000000254579</t>
        </is>
      </c>
      <c r="C131" t="inlineStr">
        <is>
          <t>MC03</t>
        </is>
      </c>
      <c r="D131" t="inlineStr">
        <is>
          <t>BIÇAK NİŞASTA BİO 161MM PK/100AD KL/16PK</t>
        </is>
      </c>
      <c r="E131" s="8" t="n">
        <v>16</v>
      </c>
      <c r="F131" t="inlineStr">
        <is>
          <t>PK</t>
        </is>
      </c>
      <c r="G131" s="9" t="n">
        <v>129.72</v>
      </c>
      <c r="H131" s="9" t="n">
        <v>129.72</v>
      </c>
      <c r="I131" s="12" t="n">
        <v>2407.6</v>
      </c>
      <c r="J131" s="9" t="n">
        <v>2.76</v>
      </c>
      <c r="K131" t="n">
        <v>47</v>
      </c>
      <c r="L131" s="15">
        <f>IF(J131="","",H131/J131)</f>
        <v/>
      </c>
      <c r="M131" t="inlineStr"/>
    </row>
    <row r="132">
      <c r="A132" s="7" t="n">
        <v>46218</v>
      </c>
      <c r="B132" t="inlineStr">
        <is>
          <t>A00000000255479</t>
        </is>
      </c>
      <c r="C132" t="inlineStr">
        <is>
          <t>MC03</t>
        </is>
      </c>
      <c r="D132" t="inlineStr">
        <is>
          <t>BIÇAK NİŞASTA BİO 161MM PK/100AD KL/16PK</t>
        </is>
      </c>
      <c r="E132" s="8" t="n">
        <v>16</v>
      </c>
      <c r="F132" t="inlineStr">
        <is>
          <t>PK</t>
        </is>
      </c>
      <c r="G132" s="9" t="n">
        <v>132.48</v>
      </c>
      <c r="H132" s="9" t="n">
        <v>132.48</v>
      </c>
      <c r="I132" s="12" t="n">
        <v>2458.83</v>
      </c>
      <c r="J132" s="9" t="n">
        <v>2.76</v>
      </c>
      <c r="K132" t="n">
        <v>48</v>
      </c>
      <c r="L132" s="15">
        <f>IF(J132="","",H132/J132)</f>
        <v/>
      </c>
      <c r="M132" t="inlineStr"/>
    </row>
    <row r="133">
      <c r="A133" s="7" t="n">
        <v>46224</v>
      </c>
      <c r="B133" t="inlineStr">
        <is>
          <t>A00000000256028</t>
        </is>
      </c>
      <c r="C133" t="inlineStr">
        <is>
          <t>MC03</t>
        </is>
      </c>
      <c r="D133" t="inlineStr">
        <is>
          <t>BIÇAK NİŞASTA BİO 161MM PK/100AD KL/16PK</t>
        </is>
      </c>
      <c r="E133" s="8" t="n">
        <v>16</v>
      </c>
      <c r="F133" t="inlineStr">
        <is>
          <t>PK</t>
        </is>
      </c>
      <c r="G133" s="9" t="n">
        <v>132.48</v>
      </c>
      <c r="H133" s="9" t="n">
        <v>132.48</v>
      </c>
      <c r="I133" s="12" t="n">
        <v>2458.83</v>
      </c>
      <c r="J133" s="9" t="n">
        <v>2.76</v>
      </c>
      <c r="K133" t="n">
        <v>48</v>
      </c>
      <c r="L133" s="15">
        <f>IF(J133="","",H133/J133)</f>
        <v/>
      </c>
      <c r="M133" t="inlineStr"/>
    </row>
    <row r="134">
      <c r="A134" s="7" t="n">
        <v>46227</v>
      </c>
      <c r="B134" t="inlineStr">
        <is>
          <t>A00000000256366</t>
        </is>
      </c>
      <c r="C134" t="inlineStr">
        <is>
          <t>MC03</t>
        </is>
      </c>
      <c r="D134" t="inlineStr">
        <is>
          <t>BIÇAK NİŞASTA BİO 161MM PK/100AD KL/16PK</t>
        </is>
      </c>
      <c r="E134" s="8" t="n">
        <v>32</v>
      </c>
      <c r="F134" t="inlineStr">
        <is>
          <t>PK</t>
        </is>
      </c>
      <c r="G134" s="9" t="n">
        <v>132.48</v>
      </c>
      <c r="H134" s="9" t="n">
        <v>132.48</v>
      </c>
      <c r="I134" s="12" t="n">
        <v>4917.66</v>
      </c>
      <c r="J134" s="9" t="n">
        <v>2.76</v>
      </c>
      <c r="K134" t="n">
        <v>48</v>
      </c>
      <c r="L134" s="15">
        <f>IF(J134="","",H134/J134)</f>
        <v/>
      </c>
      <c r="M134" t="inlineStr"/>
    </row>
    <row r="135">
      <c r="A135" s="7" t="n">
        <v>46238</v>
      </c>
      <c r="B135" t="inlineStr">
        <is>
          <t>A00000000257116</t>
        </is>
      </c>
      <c r="C135" t="inlineStr">
        <is>
          <t>MC03</t>
        </is>
      </c>
      <c r="D135" t="inlineStr">
        <is>
          <t>BIÇAK NİŞASTA BİO 161MM PK/100AD KL/16PK</t>
        </is>
      </c>
      <c r="E135" s="8" t="n">
        <v>16</v>
      </c>
      <c r="F135" t="inlineStr">
        <is>
          <t>PK</t>
        </is>
      </c>
      <c r="G135" s="9" t="n">
        <v>132.48</v>
      </c>
      <c r="H135" s="9" t="n">
        <v>132.48</v>
      </c>
      <c r="I135" s="12" t="n">
        <v>2458.83</v>
      </c>
      <c r="J135" s="9" t="n">
        <v>2.76</v>
      </c>
      <c r="K135" t="n">
        <v>48</v>
      </c>
      <c r="L135" s="15">
        <f>IF(J135="","",H135/J135)</f>
        <v/>
      </c>
      <c r="M135" t="inlineStr"/>
    </row>
    <row r="136">
      <c r="A136" s="7" t="n">
        <v>46252</v>
      </c>
      <c r="B136" t="inlineStr">
        <is>
          <t>A00000000258193</t>
        </is>
      </c>
      <c r="C136" t="inlineStr">
        <is>
          <t>MC03</t>
        </is>
      </c>
      <c r="D136" t="inlineStr">
        <is>
          <t>BIÇAK NİŞASTA BİO 161MM PK/100AD KL/16PK</t>
        </is>
      </c>
      <c r="E136" s="8" t="n">
        <v>16</v>
      </c>
      <c r="F136" t="inlineStr">
        <is>
          <t>PK</t>
        </is>
      </c>
      <c r="G136" s="9" t="n">
        <v>132.48</v>
      </c>
      <c r="H136" s="9" t="n">
        <v>132.48</v>
      </c>
      <c r="I136" s="12" t="n">
        <v>2458.83</v>
      </c>
      <c r="J136" s="9" t="n">
        <v>2.76</v>
      </c>
      <c r="K136" t="n">
        <v>48</v>
      </c>
      <c r="L136" s="15">
        <f>IF(J136="","",H136/J136)</f>
        <v/>
      </c>
      <c r="M136" t="inlineStr"/>
    </row>
    <row r="137">
      <c r="A137" s="7" t="n">
        <v>46267</v>
      </c>
      <c r="B137" t="inlineStr">
        <is>
          <t>A00000000259302</t>
        </is>
      </c>
      <c r="C137" t="inlineStr">
        <is>
          <t>MC03</t>
        </is>
      </c>
      <c r="D137" t="inlineStr">
        <is>
          <t>BIÇAK NİŞASTA BİO 161MM PK/100AD KL/16PK</t>
        </is>
      </c>
      <c r="E137" s="8" t="n">
        <v>16</v>
      </c>
      <c r="F137" t="inlineStr">
        <is>
          <t>PK</t>
        </is>
      </c>
      <c r="G137" s="9" t="n">
        <v>135.24</v>
      </c>
      <c r="H137" s="9" t="n">
        <v>135.24</v>
      </c>
      <c r="I137" s="12" t="n">
        <v>2510.05</v>
      </c>
      <c r="J137" s="9" t="n">
        <v>2.76</v>
      </c>
      <c r="K137" t="n">
        <v>49</v>
      </c>
      <c r="L137" s="15">
        <f>IF(J137="","",H137/J137)</f>
        <v/>
      </c>
      <c r="M137" t="inlineStr"/>
    </row>
    <row r="138">
      <c r="A138" s="7" t="n">
        <v>46296</v>
      </c>
      <c r="B138" t="inlineStr">
        <is>
          <t>A00000000261821</t>
        </is>
      </c>
      <c r="C138" t="inlineStr">
        <is>
          <t>MC03</t>
        </is>
      </c>
      <c r="D138" t="inlineStr">
        <is>
          <t>BIÇAK NİŞASTA BİO 161MM PK/100AD KL/16PK</t>
        </is>
      </c>
      <c r="E138" s="8" t="n">
        <v>16</v>
      </c>
      <c r="F138" t="inlineStr">
        <is>
          <t>PK</t>
        </is>
      </c>
      <c r="G138" s="9" t="n">
        <v>135.24</v>
      </c>
      <c r="H138" s="9" t="n">
        <v>135.24</v>
      </c>
      <c r="I138" s="12" t="n">
        <v>2510.05</v>
      </c>
      <c r="J138" s="9" t="n">
        <v>2.76</v>
      </c>
      <c r="K138" t="n">
        <v>49</v>
      </c>
      <c r="L138" s="15">
        <f>IF(J138="","",H138/J138)</f>
        <v/>
      </c>
      <c r="M138" t="inlineStr"/>
    </row>
    <row r="139">
      <c r="A139" s="7" t="n">
        <v>46287</v>
      </c>
      <c r="B139" t="inlineStr">
        <is>
          <t>A00000000260893</t>
        </is>
      </c>
      <c r="C139" t="inlineStr">
        <is>
          <t>MKR022</t>
        </is>
      </c>
      <c r="D139" t="inlineStr">
        <is>
          <t>AYAKLI KASE 200 CC KAPAK PK/50AD KL/20PK</t>
        </is>
      </c>
      <c r="E139" s="8" t="n">
        <v>12</v>
      </c>
      <c r="F139" t="inlineStr">
        <is>
          <t>PK</t>
        </is>
      </c>
      <c r="G139" s="9" t="n">
        <v>92.12</v>
      </c>
      <c r="H139" s="9" t="n">
        <v>92.12</v>
      </c>
      <c r="I139" s="12" t="n">
        <v>1160.71</v>
      </c>
      <c r="J139" s="9" t="n">
        <v>1.88</v>
      </c>
      <c r="K139" t="n">
        <v>49</v>
      </c>
      <c r="L139" s="15">
        <f>IF(J139="","",H139/J139)</f>
        <v/>
      </c>
      <c r="M139" t="inlineStr"/>
    </row>
    <row r="140">
      <c r="A140" s="7" t="n">
        <v>46294</v>
      </c>
      <c r="B140" t="inlineStr">
        <is>
          <t>A00000000261567</t>
        </is>
      </c>
      <c r="C140" t="inlineStr">
        <is>
          <t>MKR022</t>
        </is>
      </c>
      <c r="D140" t="inlineStr">
        <is>
          <t>AYAKLI KASE 200 CC KAPAK PK/50AD KL/20PK</t>
        </is>
      </c>
      <c r="E140" s="8" t="n">
        <v>30</v>
      </c>
      <c r="F140" t="inlineStr">
        <is>
          <t>PK</t>
        </is>
      </c>
      <c r="G140" s="9" t="n">
        <v>92.12</v>
      </c>
      <c r="H140" s="9" t="n">
        <v>92.12</v>
      </c>
      <c r="I140" s="12" t="n">
        <v>2901.78</v>
      </c>
      <c r="J140" s="9" t="n">
        <v>1.88</v>
      </c>
      <c r="K140" t="n">
        <v>49</v>
      </c>
      <c r="L140" s="15">
        <f>IF(J140="","",H140/J140)</f>
        <v/>
      </c>
      <c r="M140" t="inlineStr"/>
    </row>
    <row r="141">
      <c r="A141" s="7" t="n">
        <v>46296</v>
      </c>
      <c r="B141" t="inlineStr">
        <is>
          <t>A00000000261821</t>
        </is>
      </c>
      <c r="C141" t="inlineStr">
        <is>
          <t>MKR022</t>
        </is>
      </c>
      <c r="D141" t="inlineStr">
        <is>
          <t>AYAKLI KASE 200 CC KAPAK PK/50AD KL/20PK</t>
        </is>
      </c>
      <c r="E141" s="8" t="n">
        <v>20</v>
      </c>
      <c r="F141" t="inlineStr">
        <is>
          <t>PK</t>
        </is>
      </c>
      <c r="G141" s="9" t="n">
        <v>92.12</v>
      </c>
      <c r="H141" s="9" t="n">
        <v>92.12</v>
      </c>
      <c r="I141" s="12" t="n">
        <v>1934.52</v>
      </c>
      <c r="J141" s="9" t="n">
        <v>1.88</v>
      </c>
      <c r="K141" t="n">
        <v>49</v>
      </c>
      <c r="L141" s="15">
        <f>IF(J141="","",H141/J141)</f>
        <v/>
      </c>
      <c r="M141" t="inlineStr"/>
    </row>
    <row r="142">
      <c r="A142" s="7" t="n">
        <v>46315</v>
      </c>
      <c r="B142" t="inlineStr">
        <is>
          <t>A00000000263385</t>
        </is>
      </c>
      <c r="C142" t="inlineStr">
        <is>
          <t>MKR022</t>
        </is>
      </c>
      <c r="D142" t="inlineStr">
        <is>
          <t>AYAKLI KASE 200 CC KAPAK PK/50AD KL/20PK</t>
        </is>
      </c>
      <c r="E142" s="8" t="n">
        <v>10</v>
      </c>
      <c r="F142" t="inlineStr">
        <is>
          <t>PK</t>
        </is>
      </c>
      <c r="G142" s="9" t="n">
        <v>94</v>
      </c>
      <c r="H142" s="9" t="n">
        <v>94</v>
      </c>
      <c r="I142" s="12" t="n">
        <v>987</v>
      </c>
      <c r="J142" s="9" t="n">
        <v>1.88</v>
      </c>
      <c r="K142" t="n">
        <v>50</v>
      </c>
      <c r="L142" s="15">
        <f>IF(J142="","",H142/J142)</f>
        <v/>
      </c>
      <c r="M142" t="inlineStr"/>
    </row>
    <row r="143">
      <c r="A143" s="7" t="n">
        <v>46218</v>
      </c>
      <c r="B143" t="inlineStr">
        <is>
          <t>A00000000255479</t>
        </is>
      </c>
      <c r="C143" t="inlineStr">
        <is>
          <t>MKR023</t>
        </is>
      </c>
      <c r="D143" t="inlineStr">
        <is>
          <t>PP SOS KABI KAPAKLI 4 OZ 120 ML PK/50AD KL/10PK</t>
        </is>
      </c>
      <c r="E143" s="8" t="n">
        <v>20</v>
      </c>
      <c r="F143" t="inlineStr">
        <is>
          <t>PK</t>
        </is>
      </c>
      <c r="G143" s="9" t="n">
        <v>100.8</v>
      </c>
      <c r="H143" s="9" t="n">
        <v>100.8</v>
      </c>
      <c r="I143" s="12" t="n">
        <v>2116.8</v>
      </c>
      <c r="J143" s="9" t="n">
        <v>2.1</v>
      </c>
      <c r="K143" t="n">
        <v>48</v>
      </c>
      <c r="L143" s="15">
        <f>IF(J143="","",H143/J143)</f>
        <v/>
      </c>
      <c r="M143" t="inlineStr"/>
    </row>
    <row r="144">
      <c r="A144" s="7" t="n">
        <v>46239</v>
      </c>
      <c r="B144" t="inlineStr">
        <is>
          <t>A00000000257188</t>
        </is>
      </c>
      <c r="C144" t="inlineStr">
        <is>
          <t>MKR023</t>
        </is>
      </c>
      <c r="D144" t="inlineStr">
        <is>
          <t>PP SOS KABI KAPAKLI 4 OZ 120 ML PK/50AD KL/10PK</t>
        </is>
      </c>
      <c r="E144" s="8" t="n">
        <v>20</v>
      </c>
      <c r="F144" t="inlineStr">
        <is>
          <t>PK</t>
        </is>
      </c>
      <c r="G144" s="9" t="n">
        <v>108</v>
      </c>
      <c r="H144" s="9" t="n">
        <v>108</v>
      </c>
      <c r="I144" s="12" t="n">
        <v>2268</v>
      </c>
      <c r="J144" s="9" t="n">
        <v>2.25</v>
      </c>
      <c r="K144" t="n">
        <v>48</v>
      </c>
      <c r="L144" s="15">
        <f>IF(J144="","",H144/J144)</f>
        <v/>
      </c>
      <c r="M144" t="inlineStr"/>
    </row>
    <row r="145">
      <c r="A145" s="7" t="n">
        <v>46247</v>
      </c>
      <c r="B145" t="inlineStr">
        <is>
          <t>A00000000257863</t>
        </is>
      </c>
      <c r="C145" t="inlineStr">
        <is>
          <t>MKR023</t>
        </is>
      </c>
      <c r="D145" t="inlineStr">
        <is>
          <t>PP SOS KABI KAPAKLI 4 OZ 120 ML PK/50AD KL/10PK</t>
        </is>
      </c>
      <c r="E145" s="8" t="n">
        <v>20</v>
      </c>
      <c r="F145" t="inlineStr">
        <is>
          <t>PK</t>
        </is>
      </c>
      <c r="G145" s="9" t="n">
        <v>108</v>
      </c>
      <c r="H145" s="9" t="n">
        <v>108</v>
      </c>
      <c r="I145" s="12" t="n">
        <v>2268</v>
      </c>
      <c r="J145" s="9" t="n">
        <v>2.25</v>
      </c>
      <c r="K145" t="n">
        <v>48</v>
      </c>
      <c r="L145" s="15">
        <f>IF(J145="","",H145/J145)</f>
        <v/>
      </c>
      <c r="M145" t="inlineStr"/>
    </row>
    <row r="146">
      <c r="A146" s="7" t="n">
        <v>46287</v>
      </c>
      <c r="B146" t="inlineStr">
        <is>
          <t>A00000000260893</t>
        </is>
      </c>
      <c r="C146" t="inlineStr">
        <is>
          <t>MKR023</t>
        </is>
      </c>
      <c r="D146" t="inlineStr">
        <is>
          <t>PP SOS KABI KAPAKLI 4 OZ 120 ML PK/50AD KL/10PK</t>
        </is>
      </c>
      <c r="E146" s="8" t="n">
        <v>10</v>
      </c>
      <c r="F146" t="inlineStr">
        <is>
          <t>PK</t>
        </is>
      </c>
      <c r="G146" s="9" t="n">
        <v>107.8</v>
      </c>
      <c r="H146" s="9" t="n">
        <v>107.8</v>
      </c>
      <c r="I146" s="12" t="n">
        <v>1131.9</v>
      </c>
      <c r="J146" s="9" t="n">
        <v>2.2</v>
      </c>
      <c r="K146" t="n">
        <v>49</v>
      </c>
      <c r="L146" s="15">
        <f>IF(J146="","",H146/J146)</f>
        <v/>
      </c>
      <c r="M146" t="inlineStr"/>
    </row>
    <row r="147">
      <c r="A147" s="7" t="n">
        <v>46303</v>
      </c>
      <c r="B147" t="inlineStr">
        <is>
          <t>A00000000262330</t>
        </is>
      </c>
      <c r="C147" t="inlineStr">
        <is>
          <t>MKR023</t>
        </is>
      </c>
      <c r="D147" t="inlineStr">
        <is>
          <t>PP SOS KABI KAPAKLI 4 OZ 120 ML PK/50AD KL/10PK</t>
        </is>
      </c>
      <c r="E147" s="8" t="n">
        <v>10</v>
      </c>
      <c r="F147" t="inlineStr">
        <is>
          <t>PK</t>
        </is>
      </c>
      <c r="G147" s="9" t="n">
        <v>107.8</v>
      </c>
      <c r="H147" s="9" t="n">
        <v>107.8</v>
      </c>
      <c r="I147" s="12" t="n">
        <v>1131.9</v>
      </c>
      <c r="J147" s="9" t="n">
        <v>2.2</v>
      </c>
      <c r="K147" t="n">
        <v>49</v>
      </c>
      <c r="L147" s="15">
        <f>IF(J147="","",H147/J147)</f>
        <v/>
      </c>
      <c r="M147" t="inlineStr"/>
    </row>
    <row r="148">
      <c r="A148" s="7" t="n">
        <v>46225</v>
      </c>
      <c r="B148" t="inlineStr">
        <is>
          <t>C00000000220905</t>
        </is>
      </c>
      <c r="C148" t="inlineStr">
        <is>
          <t>MKR025</t>
        </is>
      </c>
      <c r="D148" t="inlineStr">
        <is>
          <t>ÇATAL BEYAZ BİO PK/50AD KL/20PK</t>
        </is>
      </c>
      <c r="E148" s="8" t="n">
        <v>20</v>
      </c>
      <c r="F148" t="inlineStr">
        <is>
          <t>PK</t>
        </is>
      </c>
      <c r="G148" s="9" t="n">
        <v>135</v>
      </c>
      <c r="H148" s="9" t="n">
        <v>116.3793</v>
      </c>
      <c r="I148" s="12" t="n">
        <v>2700</v>
      </c>
      <c r="J148" s="9" t="n">
        <v>2.8125</v>
      </c>
      <c r="K148" t="n">
        <v>48</v>
      </c>
      <c r="L148" s="15">
        <f>IF(J148="","",H148/J148)</f>
        <v/>
      </c>
      <c r="M148" t="inlineStr">
        <is>
          <t>KDV dahil fiyat girilmiş belge (M/C serisi) - net KDV hariç</t>
        </is>
      </c>
    </row>
    <row r="149">
      <c r="A149" s="7" t="n">
        <v>46204</v>
      </c>
      <c r="B149" t="inlineStr">
        <is>
          <t>A00000000254474</t>
        </is>
      </c>
      <c r="C149" t="inlineStr">
        <is>
          <t>MRK002</t>
        </is>
      </c>
      <c r="D149" t="inlineStr">
        <is>
          <t>TAHTA ÇATAL 16CM (PK/100AD KL/50PK)</t>
        </is>
      </c>
      <c r="E149" s="8" t="n">
        <v>10</v>
      </c>
      <c r="F149" t="inlineStr">
        <is>
          <t>PK</t>
        </is>
      </c>
      <c r="G149" s="9" t="n">
        <v>94</v>
      </c>
      <c r="H149" s="9" t="n">
        <v>94</v>
      </c>
      <c r="I149" s="12" t="n">
        <v>1090.4</v>
      </c>
      <c r="J149" s="9" t="n">
        <v>2</v>
      </c>
      <c r="K149" t="n">
        <v>47</v>
      </c>
      <c r="L149" s="15">
        <f>IF(J149="","",H149/J149)</f>
        <v/>
      </c>
      <c r="M149" t="inlineStr"/>
    </row>
    <row r="150">
      <c r="A150" s="7" t="n">
        <v>46210</v>
      </c>
      <c r="B150" t="inlineStr">
        <is>
          <t>A00000000255017</t>
        </is>
      </c>
      <c r="C150" t="inlineStr">
        <is>
          <t>MRK002</t>
        </is>
      </c>
      <c r="D150" t="inlineStr">
        <is>
          <t>TAHTA ÇATAL 16CM (PK/100AD KL/50PK)</t>
        </is>
      </c>
      <c r="E150" s="8" t="n">
        <v>10</v>
      </c>
      <c r="F150" t="inlineStr">
        <is>
          <t>PK</t>
        </is>
      </c>
      <c r="G150" s="9" t="n">
        <v>94</v>
      </c>
      <c r="H150" s="9" t="n">
        <v>94</v>
      </c>
      <c r="I150" s="12" t="n">
        <v>1090.4</v>
      </c>
      <c r="J150" s="9" t="n">
        <v>2</v>
      </c>
      <c r="K150" t="n">
        <v>47</v>
      </c>
      <c r="L150" s="15">
        <f>IF(J150="","",H150/J150)</f>
        <v/>
      </c>
      <c r="M150" t="inlineStr"/>
    </row>
    <row r="151">
      <c r="A151" s="7" t="n">
        <v>46224</v>
      </c>
      <c r="B151" t="inlineStr">
        <is>
          <t>A00000000256028</t>
        </is>
      </c>
      <c r="C151" t="inlineStr">
        <is>
          <t>MRK002</t>
        </is>
      </c>
      <c r="D151" t="inlineStr">
        <is>
          <t>TAHTA ÇATAL 16CM (PK/100AD KL/50PK)</t>
        </is>
      </c>
      <c r="E151" s="8" t="n">
        <v>10</v>
      </c>
      <c r="F151" t="inlineStr">
        <is>
          <t>PK</t>
        </is>
      </c>
      <c r="G151" s="9" t="n">
        <v>96</v>
      </c>
      <c r="H151" s="9" t="n">
        <v>96</v>
      </c>
      <c r="I151" s="12" t="n">
        <v>1113.6</v>
      </c>
      <c r="J151" s="9" t="n">
        <v>2</v>
      </c>
      <c r="K151" t="n">
        <v>48</v>
      </c>
      <c r="L151" s="15">
        <f>IF(J151="","",H151/J151)</f>
        <v/>
      </c>
      <c r="M151" t="inlineStr"/>
    </row>
    <row r="152">
      <c r="A152" s="7" t="n">
        <v>46252</v>
      </c>
      <c r="B152" t="inlineStr">
        <is>
          <t>A00000000258193</t>
        </is>
      </c>
      <c r="C152" t="inlineStr">
        <is>
          <t>MRK002</t>
        </is>
      </c>
      <c r="D152" t="inlineStr">
        <is>
          <t>TAHTA ÇATAL 16CM (PK/100AD KL/50PK)</t>
        </is>
      </c>
      <c r="E152" s="8" t="n">
        <v>20</v>
      </c>
      <c r="F152" t="inlineStr">
        <is>
          <t>PK</t>
        </is>
      </c>
      <c r="G152" s="9" t="n">
        <v>129.6</v>
      </c>
      <c r="H152" s="9" t="n">
        <v>129.6</v>
      </c>
      <c r="I152" s="12" t="n">
        <v>3006.72</v>
      </c>
      <c r="J152" s="9" t="n">
        <v>2.7</v>
      </c>
      <c r="K152" t="n">
        <v>48</v>
      </c>
      <c r="L152" s="15">
        <f>IF(J152="","",H152/J152)</f>
        <v/>
      </c>
      <c r="M152" t="inlineStr"/>
    </row>
    <row r="153">
      <c r="A153" s="7" t="n">
        <v>46260</v>
      </c>
      <c r="B153" t="inlineStr">
        <is>
          <t>A00000000258910</t>
        </is>
      </c>
      <c r="C153" t="inlineStr">
        <is>
          <t>MRK002</t>
        </is>
      </c>
      <c r="D153" t="inlineStr">
        <is>
          <t>TAHTA ÇATAL 16CM (PK/100AD KL/50PK)</t>
        </is>
      </c>
      <c r="E153" s="8" t="n">
        <v>5</v>
      </c>
      <c r="F153" t="inlineStr">
        <is>
          <t>PK</t>
        </is>
      </c>
      <c r="G153" s="9" t="n">
        <v>129.6</v>
      </c>
      <c r="H153" s="9" t="n">
        <v>129.6</v>
      </c>
      <c r="I153" s="12" t="n">
        <v>751.6799999999999</v>
      </c>
      <c r="J153" s="9" t="n">
        <v>2.7</v>
      </c>
      <c r="K153" t="n">
        <v>48</v>
      </c>
      <c r="L153" s="15">
        <f>IF(J153="","",H153/J153)</f>
        <v/>
      </c>
      <c r="M153" t="inlineStr"/>
    </row>
    <row r="154">
      <c r="A154" s="7" t="n">
        <v>46267</v>
      </c>
      <c r="B154" t="inlineStr">
        <is>
          <t>A00000000259302</t>
        </is>
      </c>
      <c r="C154" t="inlineStr">
        <is>
          <t>MRK002</t>
        </is>
      </c>
      <c r="D154" t="inlineStr">
        <is>
          <t>TAHTA ÇATAL 16CM (PK/100AD KL/50PK)</t>
        </is>
      </c>
      <c r="E154" s="8" t="n">
        <v>50</v>
      </c>
      <c r="F154" t="inlineStr">
        <is>
          <t>PK</t>
        </is>
      </c>
      <c r="G154" s="9" t="n">
        <v>132.3</v>
      </c>
      <c r="H154" s="9" t="n">
        <v>132.3</v>
      </c>
      <c r="I154" s="12" t="n">
        <v>7673.4</v>
      </c>
      <c r="J154" s="9" t="n">
        <v>2.7</v>
      </c>
      <c r="K154" t="n">
        <v>49</v>
      </c>
      <c r="L154" s="15">
        <f>IF(J154="","",H154/J154)</f>
        <v/>
      </c>
      <c r="M154" t="inlineStr"/>
    </row>
    <row r="155">
      <c r="A155" s="7" t="n">
        <v>46273</v>
      </c>
      <c r="B155" t="inlineStr">
        <is>
          <t>A00000000259731</t>
        </is>
      </c>
      <c r="C155" t="inlineStr">
        <is>
          <t>MRK002</t>
        </is>
      </c>
      <c r="D155" t="inlineStr">
        <is>
          <t>TAHTA ÇATAL 16CM (PK/100AD KL/50PK)</t>
        </is>
      </c>
      <c r="E155" s="8" t="n">
        <v>10</v>
      </c>
      <c r="F155" t="inlineStr">
        <is>
          <t>PK</t>
        </is>
      </c>
      <c r="G155" s="9" t="n">
        <v>132.3</v>
      </c>
      <c r="H155" s="9" t="n">
        <v>132.3</v>
      </c>
      <c r="I155" s="12" t="n">
        <v>1534.68</v>
      </c>
      <c r="J155" s="9" t="n">
        <v>2.7</v>
      </c>
      <c r="K155" t="n">
        <v>49</v>
      </c>
      <c r="L155" s="15">
        <f>IF(J155="","",H155/J155)</f>
        <v/>
      </c>
      <c r="M155" t="inlineStr"/>
    </row>
    <row r="156">
      <c r="A156" s="7" t="n">
        <v>46297</v>
      </c>
      <c r="B156" t="inlineStr">
        <is>
          <t>A00000000261813</t>
        </is>
      </c>
      <c r="C156" t="inlineStr">
        <is>
          <t>MRK002</t>
        </is>
      </c>
      <c r="D156" t="inlineStr">
        <is>
          <t>TAHTA ÇATAL 16CM (PK/100AD KL/50PK)</t>
        </is>
      </c>
      <c r="E156" s="8" t="n">
        <v>10</v>
      </c>
      <c r="F156" t="inlineStr">
        <is>
          <t>PK</t>
        </is>
      </c>
      <c r="G156" s="9" t="n">
        <v>132.3</v>
      </c>
      <c r="H156" s="9" t="n">
        <v>132.3</v>
      </c>
      <c r="I156" s="12" t="n">
        <v>1534.68</v>
      </c>
      <c r="J156" s="9" t="n">
        <v>2.7</v>
      </c>
      <c r="K156" t="n">
        <v>49</v>
      </c>
      <c r="L156" s="15">
        <f>IF(J156="","",H156/J156)</f>
        <v/>
      </c>
      <c r="M156" t="inlineStr"/>
    </row>
    <row r="157">
      <c r="A157" s="7" t="n">
        <v>46308</v>
      </c>
      <c r="B157" t="inlineStr">
        <is>
          <t>A00000000262812</t>
        </is>
      </c>
      <c r="C157" t="inlineStr">
        <is>
          <t>MRK002</t>
        </is>
      </c>
      <c r="D157" t="inlineStr">
        <is>
          <t>TAHTA ÇATAL 16CM (PK/100AD KL/50PK)</t>
        </is>
      </c>
      <c r="E157" s="8" t="n">
        <v>10</v>
      </c>
      <c r="F157" t="inlineStr">
        <is>
          <t>PK</t>
        </is>
      </c>
      <c r="G157" s="9" t="n">
        <v>135</v>
      </c>
      <c r="H157" s="9" t="n">
        <v>135</v>
      </c>
      <c r="I157" s="12" t="n">
        <v>1566</v>
      </c>
      <c r="J157" s="9" t="n">
        <v>2.7</v>
      </c>
      <c r="K157" t="n">
        <v>50</v>
      </c>
      <c r="L157" s="15">
        <f>IF(J157="","",H157/J157)</f>
        <v/>
      </c>
      <c r="M157" t="inlineStr"/>
    </row>
    <row r="158">
      <c r="A158" s="7" t="n">
        <v>46207</v>
      </c>
      <c r="B158" t="inlineStr">
        <is>
          <t>M00000000254628</t>
        </is>
      </c>
      <c r="C158" t="inlineStr">
        <is>
          <t>MRK004</t>
        </is>
      </c>
      <c r="D158" t="inlineStr">
        <is>
          <t>TAHTA DONDURMA KAŞIK 11CM (PK/100AD KL/100PK)</t>
        </is>
      </c>
      <c r="E158" s="8" t="n">
        <v>100</v>
      </c>
      <c r="F158" t="inlineStr">
        <is>
          <t>PK</t>
        </is>
      </c>
      <c r="G158" s="9" t="n">
        <v>100</v>
      </c>
      <c r="H158" s="9" t="n">
        <v>86.2069</v>
      </c>
      <c r="I158" s="12" t="n">
        <v>10000</v>
      </c>
      <c r="J158" s="9" t="n">
        <v>1.8</v>
      </c>
      <c r="K158" t="n">
        <v>47</v>
      </c>
      <c r="L158" s="15">
        <f>IF(J158="","",H158/J158)</f>
        <v/>
      </c>
      <c r="M158" t="inlineStr">
        <is>
          <t>KDV dahil fiyat girilmiş belge (M/C serisi) - net KDV hariç</t>
        </is>
      </c>
    </row>
    <row r="159">
      <c r="A159" s="7" t="n">
        <v>46232</v>
      </c>
      <c r="B159" t="inlineStr">
        <is>
          <t>A00000000256678</t>
        </is>
      </c>
      <c r="C159" t="inlineStr">
        <is>
          <t>MRK004</t>
        </is>
      </c>
      <c r="D159" t="inlineStr">
        <is>
          <t>TAHTA DONDURMA KAŞIK 11CM (PK/100AD KL/100PK)</t>
        </is>
      </c>
      <c r="E159" s="8" t="n">
        <v>100</v>
      </c>
      <c r="F159" t="inlineStr">
        <is>
          <t>PK</t>
        </is>
      </c>
      <c r="G159" s="9" t="n">
        <v>96</v>
      </c>
      <c r="H159" s="9" t="n">
        <v>96</v>
      </c>
      <c r="I159" s="12" t="n">
        <v>11136</v>
      </c>
      <c r="J159" s="9" t="n">
        <v>2</v>
      </c>
      <c r="K159" t="n">
        <v>48</v>
      </c>
      <c r="L159" s="15">
        <f>IF(J159="","",H159/J159)</f>
        <v/>
      </c>
      <c r="M159" t="inlineStr"/>
    </row>
    <row r="160">
      <c r="A160" s="7" t="n">
        <v>46297</v>
      </c>
      <c r="B160" t="inlineStr">
        <is>
          <t>A00000000261813</t>
        </is>
      </c>
      <c r="C160" t="inlineStr">
        <is>
          <t>MRK004</t>
        </is>
      </c>
      <c r="D160" t="inlineStr">
        <is>
          <t>TAHTA DONDURMA KAŞIK 11CM (PK/100AD KL/100PK)</t>
        </is>
      </c>
      <c r="E160" s="8" t="n">
        <v>100</v>
      </c>
      <c r="F160" t="inlineStr">
        <is>
          <t>PK</t>
        </is>
      </c>
      <c r="G160" s="9" t="n">
        <v>98</v>
      </c>
      <c r="H160" s="9" t="n">
        <v>98</v>
      </c>
      <c r="I160" s="12" t="n">
        <v>11368</v>
      </c>
      <c r="J160" s="9" t="n">
        <v>2</v>
      </c>
      <c r="K160" t="n">
        <v>49</v>
      </c>
      <c r="L160" s="15">
        <f>IF(J160="","",H160/J160)</f>
        <v/>
      </c>
      <c r="M160" t="inlineStr"/>
    </row>
    <row r="161">
      <c r="A161" s="7" t="n">
        <v>46268</v>
      </c>
      <c r="B161" t="inlineStr">
        <is>
          <t>M00000000258320</t>
        </is>
      </c>
      <c r="C161" t="inlineStr">
        <is>
          <t>MRK006</t>
        </is>
      </c>
      <c r="D161" t="inlineStr">
        <is>
          <t>TAHTA BAMBU KÜRDAN 9CM (PK/50AD KL/200PK)</t>
        </is>
      </c>
      <c r="E161" s="8" t="n">
        <v>2</v>
      </c>
      <c r="F161" t="inlineStr">
        <is>
          <t>PK</t>
        </is>
      </c>
      <c r="G161" s="9" t="n">
        <v>55</v>
      </c>
      <c r="H161" s="9" t="n">
        <v>47.4138</v>
      </c>
      <c r="I161" s="12" t="n">
        <v>110</v>
      </c>
      <c r="J161" s="9" t="n">
        <v>1.12245</v>
      </c>
      <c r="K161" t="n">
        <v>49</v>
      </c>
      <c r="L161" s="15">
        <f>IF(J161="","",H161/J161)</f>
        <v/>
      </c>
      <c r="M161" t="inlineStr">
        <is>
          <t>KDV dahil fiyat girilmiş belge (M/C serisi) - net KDV hariç</t>
        </is>
      </c>
    </row>
    <row r="162">
      <c r="A162" s="7" t="n">
        <v>46268</v>
      </c>
      <c r="B162" t="inlineStr">
        <is>
          <t>M00000000258320</t>
        </is>
      </c>
      <c r="C162" t="inlineStr">
        <is>
          <t>MRK021</t>
        </is>
      </c>
      <c r="D162" t="inlineStr">
        <is>
          <t>BAMBU TOP KÜRDAN ALTIN 12CM PK/100AD KL/100PK</t>
        </is>
      </c>
      <c r="E162" s="8" t="n">
        <v>1</v>
      </c>
      <c r="F162" t="inlineStr">
        <is>
          <t>PK</t>
        </is>
      </c>
      <c r="G162" s="9" t="n">
        <v>150</v>
      </c>
      <c r="H162" s="9" t="n">
        <v>129.3103</v>
      </c>
      <c r="I162" s="12" t="n">
        <v>150</v>
      </c>
      <c r="J162" s="9" t="n">
        <v>3.06122</v>
      </c>
      <c r="K162" t="n">
        <v>49</v>
      </c>
      <c r="L162" s="15">
        <f>IF(J162="","",H162/J162)</f>
        <v/>
      </c>
      <c r="M162" t="inlineStr">
        <is>
          <t>KDV dahil fiyat girilmiş belge (M/C serisi) - net KDV hariç</t>
        </is>
      </c>
    </row>
    <row r="163">
      <c r="A163" s="7" t="n">
        <v>46204</v>
      </c>
      <c r="B163" t="inlineStr">
        <is>
          <t>A00000000254474</t>
        </is>
      </c>
      <c r="C163" t="inlineStr">
        <is>
          <t>MRK022</t>
        </is>
      </c>
      <c r="D163" t="inlineStr">
        <is>
          <t>TAHTA DONDURMA KAŞIK 9,5CM KARE PK/100 KL/100</t>
        </is>
      </c>
      <c r="E163" s="8" t="n">
        <v>100</v>
      </c>
      <c r="F163" t="inlineStr">
        <is>
          <t>PK</t>
        </is>
      </c>
      <c r="G163" s="9" t="n">
        <v>86.95</v>
      </c>
      <c r="H163" s="9" t="n">
        <v>86.95</v>
      </c>
      <c r="I163" s="12" t="n">
        <v>10086.2</v>
      </c>
      <c r="J163" s="9" t="n">
        <v>1.85</v>
      </c>
      <c r="K163" t="n">
        <v>47</v>
      </c>
      <c r="L163" s="15">
        <f>IF(J163="","",H163/J163)</f>
        <v/>
      </c>
      <c r="M163" t="inlineStr"/>
    </row>
    <row r="164">
      <c r="A164" s="7" t="n">
        <v>46268</v>
      </c>
      <c r="B164" t="inlineStr">
        <is>
          <t>M00000000258320</t>
        </is>
      </c>
      <c r="C164" t="inlineStr">
        <is>
          <t>MRK025</t>
        </is>
      </c>
      <c r="D164" t="inlineStr">
        <is>
          <t>BAMBU TOP KÜRDAN GÜMÜŞ 12CM PK/100AD KL/100PK</t>
        </is>
      </c>
      <c r="E164" s="8" t="n">
        <v>1</v>
      </c>
      <c r="F164" t="inlineStr">
        <is>
          <t>PK</t>
        </is>
      </c>
      <c r="G164" s="9" t="n">
        <v>150</v>
      </c>
      <c r="H164" s="9" t="n">
        <v>129.3103</v>
      </c>
      <c r="I164" s="12" t="n">
        <v>150</v>
      </c>
      <c r="J164" s="9" t="n">
        <v>3.06122</v>
      </c>
      <c r="K164" t="n">
        <v>49</v>
      </c>
      <c r="L164" s="15">
        <f>IF(J164="","",H164/J164)</f>
        <v/>
      </c>
      <c r="M164" t="inlineStr">
        <is>
          <t>KDV dahil fiyat girilmiş belge (M/C serisi) - net KDV hariç</t>
        </is>
      </c>
    </row>
    <row r="165">
      <c r="A165" s="7" t="n">
        <v>46268</v>
      </c>
      <c r="B165" t="inlineStr">
        <is>
          <t>M00000000258320</t>
        </is>
      </c>
      <c r="C165" t="inlineStr">
        <is>
          <t>MRK029</t>
        </is>
      </c>
      <c r="D165" t="inlineStr">
        <is>
          <t>TAHTA BAMBU KALP KÜRDAN 9CM (PK/100 KL/100)</t>
        </is>
      </c>
      <c r="E165" s="8" t="n">
        <v>1</v>
      </c>
      <c r="F165" t="inlineStr">
        <is>
          <t>PK</t>
        </is>
      </c>
      <c r="G165" s="9" t="n">
        <v>220</v>
      </c>
      <c r="H165" s="9" t="n">
        <v>189.6552</v>
      </c>
      <c r="I165" s="12" t="n">
        <v>220</v>
      </c>
      <c r="J165" s="9" t="n">
        <v>4.4898</v>
      </c>
      <c r="K165" t="n">
        <v>49</v>
      </c>
      <c r="L165" s="15">
        <f>IF(J165="","",H165/J165)</f>
        <v/>
      </c>
      <c r="M165" t="inlineStr">
        <is>
          <t>KDV dahil fiyat girilmiş belge (M/C serisi) - net KDV hariç</t>
        </is>
      </c>
    </row>
    <row r="166">
      <c r="A166" s="7" t="n">
        <v>46301</v>
      </c>
      <c r="B166" t="inlineStr">
        <is>
          <t>M00000000261374</t>
        </is>
      </c>
      <c r="C166" t="inlineStr">
        <is>
          <t>MRU00106</t>
        </is>
      </c>
      <c r="D166" t="inlineStr">
        <is>
          <t>GOLD MUFFIN KAPSUL MOR 50X39 PK/25AD</t>
        </is>
      </c>
      <c r="E166" s="8" t="n">
        <v>6</v>
      </c>
      <c r="F166" t="inlineStr">
        <is>
          <t>PK</t>
        </is>
      </c>
      <c r="G166" s="9" t="n">
        <v>120</v>
      </c>
      <c r="H166" s="9" t="n">
        <v>114.2857</v>
      </c>
      <c r="I166" s="12" t="n">
        <v>720</v>
      </c>
      <c r="J166" s="9" t="n">
        <v>2.44898</v>
      </c>
      <c r="K166" t="n">
        <v>49</v>
      </c>
      <c r="L166" s="15">
        <f>IF(J166="","",H166/J166)</f>
        <v/>
      </c>
      <c r="M166" t="inlineStr">
        <is>
          <t>KDV dahil fiyat girilmiş belge (M/C serisi) - net KDV hariç</t>
        </is>
      </c>
    </row>
    <row r="167">
      <c r="A167" s="7" t="n">
        <v>46308</v>
      </c>
      <c r="B167" t="inlineStr">
        <is>
          <t>A00000000262812</t>
        </is>
      </c>
      <c r="C167" t="inlineStr">
        <is>
          <t>MRU0105</t>
        </is>
      </c>
      <c r="D167" t="inlineStr">
        <is>
          <t>GOLD MUFFIN KAPSUL KIRMIZI 50X39 PK/25AD</t>
        </is>
      </c>
      <c r="E167" s="8" t="n">
        <v>10</v>
      </c>
      <c r="F167" t="inlineStr">
        <is>
          <t>PK</t>
        </is>
      </c>
      <c r="G167" s="9" t="n">
        <v>100</v>
      </c>
      <c r="H167" s="9" t="n">
        <v>100</v>
      </c>
      <c r="I167" s="12" t="n">
        <v>1050</v>
      </c>
      <c r="J167" s="9" t="n"/>
      <c r="K167" t="n">
        <v>50</v>
      </c>
      <c r="L167" s="15">
        <f>IF(J167="","",H167/J167)</f>
        <v/>
      </c>
      <c r="M167" t="inlineStr"/>
    </row>
    <row r="168">
      <c r="A168" s="7" t="n">
        <v>46267</v>
      </c>
      <c r="B168" t="inlineStr">
        <is>
          <t>A00000000259302</t>
        </is>
      </c>
      <c r="C168" t="inlineStr">
        <is>
          <t>MTP040</t>
        </is>
      </c>
      <c r="D168" t="inlineStr">
        <is>
          <t>MC 06 MİNİ KARE KAP 60CC ŞFFAF PK/25</t>
        </is>
      </c>
      <c r="E168" s="8" t="n">
        <v>250</v>
      </c>
      <c r="F168" t="inlineStr">
        <is>
          <t>AD</t>
        </is>
      </c>
      <c r="G168" s="9" t="n">
        <v>5.39</v>
      </c>
      <c r="H168" s="9" t="n">
        <v>5.39</v>
      </c>
      <c r="I168" s="12" t="n">
        <v>1414.88</v>
      </c>
      <c r="J168" s="9" t="n">
        <v>0.11</v>
      </c>
      <c r="K168" t="n">
        <v>49</v>
      </c>
      <c r="L168" s="15">
        <f>IF(J168="","",H168/J168)</f>
        <v/>
      </c>
      <c r="M168" t="inlineStr"/>
    </row>
    <row r="169">
      <c r="A169" s="7" t="n">
        <v>46267</v>
      </c>
      <c r="B169" t="inlineStr">
        <is>
          <t>A00000000259302</t>
        </is>
      </c>
      <c r="C169" t="inlineStr">
        <is>
          <t>MTP041</t>
        </is>
      </c>
      <c r="D169" t="inlineStr">
        <is>
          <t>MC.12 MİNİ KARE 120ML ŞFF PK/25AD 24PK/KL</t>
        </is>
      </c>
      <c r="E169" s="8" t="n">
        <v>10</v>
      </c>
      <c r="F169" t="inlineStr">
        <is>
          <t>PK</t>
        </is>
      </c>
      <c r="G169" s="9" t="n">
        <v>198.9155</v>
      </c>
      <c r="H169" s="9" t="n">
        <v>198.916</v>
      </c>
      <c r="I169" s="12" t="n">
        <v>2088.62</v>
      </c>
      <c r="J169" s="9" t="n">
        <v>4.0595</v>
      </c>
      <c r="K169" t="n">
        <v>49</v>
      </c>
      <c r="L169" s="15">
        <f>IF(J169="","",H169/J169)</f>
        <v/>
      </c>
      <c r="M169" t="inlineStr"/>
    </row>
    <row r="170">
      <c r="A170" s="7" t="n">
        <v>46267</v>
      </c>
      <c r="B170" t="inlineStr">
        <is>
          <t>A00000000259302</t>
        </is>
      </c>
      <c r="C170" t="inlineStr">
        <is>
          <t>MTP043</t>
        </is>
      </c>
      <c r="D170" t="inlineStr">
        <is>
          <t>MC 24 MİNİ KARE  240ML ŞFFAF PK/24AD KL/15</t>
        </is>
      </c>
      <c r="E170" s="8" t="n">
        <v>10</v>
      </c>
      <c r="F170" t="inlineStr">
        <is>
          <t>PK</t>
        </is>
      </c>
      <c r="G170" s="9" t="n">
        <v>230.3</v>
      </c>
      <c r="H170" s="9" t="n">
        <v>230.3</v>
      </c>
      <c r="I170" s="12" t="n">
        <v>2418.15</v>
      </c>
      <c r="J170" s="9" t="n">
        <v>4.7</v>
      </c>
      <c r="K170" t="n">
        <v>49</v>
      </c>
      <c r="L170" s="15">
        <f>IF(J170="","",H170/J170)</f>
        <v/>
      </c>
      <c r="M170" t="inlineStr"/>
    </row>
    <row r="171">
      <c r="A171" s="7" t="n">
        <v>46204</v>
      </c>
      <c r="B171" t="inlineStr">
        <is>
          <t>A00000000254474</t>
        </is>
      </c>
      <c r="C171" t="inlineStr">
        <is>
          <t>MTP055</t>
        </is>
      </c>
      <c r="D171" t="inlineStr">
        <is>
          <t>LD 06 BOMBE KAPAK PK/60AD KL/10PK</t>
        </is>
      </c>
      <c r="E171" s="8" t="n">
        <v>1200</v>
      </c>
      <c r="F171" t="inlineStr">
        <is>
          <t>AD</t>
        </is>
      </c>
      <c r="G171" s="9" t="n">
        <v>1.7837</v>
      </c>
      <c r="H171" s="9" t="n">
        <v>1.7837</v>
      </c>
      <c r="I171" s="12" t="n">
        <v>2247.46</v>
      </c>
      <c r="J171" s="9" t="n">
        <v>0.03795</v>
      </c>
      <c r="K171" t="n">
        <v>47</v>
      </c>
      <c r="L171" s="15">
        <f>IF(J171="","",H171/J171)</f>
        <v/>
      </c>
      <c r="M171" t="inlineStr"/>
    </row>
    <row r="172">
      <c r="A172" s="7" t="n">
        <v>46218</v>
      </c>
      <c r="B172" t="inlineStr">
        <is>
          <t>A00000000255479</t>
        </is>
      </c>
      <c r="C172" t="inlineStr">
        <is>
          <t>MTP055</t>
        </is>
      </c>
      <c r="D172" t="inlineStr">
        <is>
          <t>LD 06 BOMBE KAPAK PK/60AD KL/10PK</t>
        </is>
      </c>
      <c r="E172" s="8" t="n">
        <v>1200</v>
      </c>
      <c r="F172" t="inlineStr">
        <is>
          <t>AD</t>
        </is>
      </c>
      <c r="G172" s="9" t="n">
        <v>1.8216</v>
      </c>
      <c r="H172" s="9" t="n">
        <v>1.8216</v>
      </c>
      <c r="I172" s="12" t="n">
        <v>2295.22</v>
      </c>
      <c r="J172" s="9" t="n">
        <v>0.03795</v>
      </c>
      <c r="K172" t="n">
        <v>48</v>
      </c>
      <c r="L172" s="15">
        <f>IF(J172="","",H172/J172)</f>
        <v/>
      </c>
      <c r="M172" t="inlineStr"/>
    </row>
    <row r="173">
      <c r="A173" s="7" t="n">
        <v>46227</v>
      </c>
      <c r="B173" t="inlineStr">
        <is>
          <t>A00000000256366</t>
        </is>
      </c>
      <c r="C173" t="inlineStr">
        <is>
          <t>MTP055</t>
        </is>
      </c>
      <c r="D173" t="inlineStr">
        <is>
          <t>LD 06 BOMBE KAPAK PK/60AD KL/10PK</t>
        </is>
      </c>
      <c r="E173" s="8" t="n">
        <v>1200</v>
      </c>
      <c r="F173" t="inlineStr">
        <is>
          <t>AD</t>
        </is>
      </c>
      <c r="G173" s="9" t="n">
        <v>1.8216</v>
      </c>
      <c r="H173" s="9" t="n">
        <v>1.8216</v>
      </c>
      <c r="I173" s="12" t="n">
        <v>2295.22</v>
      </c>
      <c r="J173" s="9" t="n">
        <v>0.03795</v>
      </c>
      <c r="K173" t="n">
        <v>48</v>
      </c>
      <c r="L173" s="15">
        <f>IF(J173="","",H173/J173)</f>
        <v/>
      </c>
      <c r="M173" t="inlineStr"/>
    </row>
    <row r="174">
      <c r="A174" s="7" t="n">
        <v>46231</v>
      </c>
      <c r="B174" t="inlineStr">
        <is>
          <t>A00000000256596</t>
        </is>
      </c>
      <c r="C174" t="inlineStr">
        <is>
          <t>MTP055</t>
        </is>
      </c>
      <c r="D174" t="inlineStr">
        <is>
          <t>LD 06 BOMBE KAPAK PK/60AD KL/10PK</t>
        </is>
      </c>
      <c r="E174" s="8" t="n">
        <v>1200</v>
      </c>
      <c r="F174" t="inlineStr">
        <is>
          <t>AD</t>
        </is>
      </c>
      <c r="G174" s="9" t="n">
        <v>1.8216</v>
      </c>
      <c r="H174" s="9" t="n">
        <v>1.8216</v>
      </c>
      <c r="I174" s="12" t="n">
        <v>2295.22</v>
      </c>
      <c r="J174" s="9" t="n">
        <v>0.03795</v>
      </c>
      <c r="K174" t="n">
        <v>48</v>
      </c>
      <c r="L174" s="15">
        <f>IF(J174="","",H174/J174)</f>
        <v/>
      </c>
      <c r="M174" t="inlineStr"/>
    </row>
    <row r="175">
      <c r="A175" s="7" t="n">
        <v>46238</v>
      </c>
      <c r="B175" t="inlineStr">
        <is>
          <t>A00000000257116</t>
        </is>
      </c>
      <c r="C175" t="inlineStr">
        <is>
          <t>MTP055</t>
        </is>
      </c>
      <c r="D175" t="inlineStr">
        <is>
          <t>LD 06 BOMBE KAPAK PK/60AD KL/10PK</t>
        </is>
      </c>
      <c r="E175" s="8" t="n">
        <v>1200</v>
      </c>
      <c r="F175" t="inlineStr">
        <is>
          <t>AD</t>
        </is>
      </c>
      <c r="G175" s="9" t="n">
        <v>1.8216</v>
      </c>
      <c r="H175" s="9" t="n">
        <v>1.8216</v>
      </c>
      <c r="I175" s="12" t="n">
        <v>2295.22</v>
      </c>
      <c r="J175" s="9" t="n">
        <v>0.03795</v>
      </c>
      <c r="K175" t="n">
        <v>48</v>
      </c>
      <c r="L175" s="15">
        <f>IF(J175="","",H175/J175)</f>
        <v/>
      </c>
      <c r="M175" t="inlineStr"/>
    </row>
    <row r="176">
      <c r="A176" s="7" t="n">
        <v>46258</v>
      </c>
      <c r="B176" t="inlineStr">
        <is>
          <t>A00000000258719</t>
        </is>
      </c>
      <c r="C176" t="inlineStr">
        <is>
          <t>MTP055</t>
        </is>
      </c>
      <c r="D176" t="inlineStr">
        <is>
          <t>LD 06 BOMBE KAPAK PK/60AD KL/10PK</t>
        </is>
      </c>
      <c r="E176" s="8" t="n">
        <v>1200</v>
      </c>
      <c r="F176" t="inlineStr">
        <is>
          <t>AD</t>
        </is>
      </c>
      <c r="G176" s="9" t="n">
        <v>1.8216</v>
      </c>
      <c r="H176" s="9" t="n">
        <v>1.8216</v>
      </c>
      <c r="I176" s="12" t="n">
        <v>2295.22</v>
      </c>
      <c r="J176" s="9" t="n">
        <v>0.03795</v>
      </c>
      <c r="K176" t="n">
        <v>48</v>
      </c>
      <c r="L176" s="15">
        <f>IF(J176="","",H176/J176)</f>
        <v/>
      </c>
      <c r="M176" t="inlineStr"/>
    </row>
    <row r="177">
      <c r="A177" s="7" t="n">
        <v>46267</v>
      </c>
      <c r="B177" t="inlineStr">
        <is>
          <t>A00000000259302</t>
        </is>
      </c>
      <c r="C177" t="inlineStr">
        <is>
          <t>MTP055</t>
        </is>
      </c>
      <c r="D177" t="inlineStr">
        <is>
          <t>LD 06 BOMBE KAPAK PK/60AD KL/10PK</t>
        </is>
      </c>
      <c r="E177" s="8" t="n">
        <v>2400</v>
      </c>
      <c r="F177" t="inlineStr">
        <is>
          <t>AD</t>
        </is>
      </c>
      <c r="G177" s="9" t="n">
        <v>1.8595</v>
      </c>
      <c r="H177" s="9" t="n">
        <v>1.8595</v>
      </c>
      <c r="I177" s="12" t="n">
        <v>4685.94</v>
      </c>
      <c r="J177" s="9" t="n">
        <v>0.03795</v>
      </c>
      <c r="K177" t="n">
        <v>49</v>
      </c>
      <c r="L177" s="15">
        <f>IF(J177="","",H177/J177)</f>
        <v/>
      </c>
      <c r="M177" t="inlineStr"/>
    </row>
    <row r="178">
      <c r="A178" s="7" t="n">
        <v>46311</v>
      </c>
      <c r="B178" t="inlineStr">
        <is>
          <t>A00000000263306</t>
        </is>
      </c>
      <c r="C178" t="inlineStr">
        <is>
          <t>MTP055</t>
        </is>
      </c>
      <c r="D178" t="inlineStr">
        <is>
          <t>LD 06 BOMBE KAPAK PK/60AD KL/10PK</t>
        </is>
      </c>
      <c r="E178" s="8" t="n">
        <v>600</v>
      </c>
      <c r="F178" t="inlineStr">
        <is>
          <t>AD</t>
        </is>
      </c>
      <c r="G178" s="9" t="n">
        <v>1.8975</v>
      </c>
      <c r="H178" s="9" t="n">
        <v>1.8975</v>
      </c>
      <c r="I178" s="12" t="n">
        <v>1195.43</v>
      </c>
      <c r="J178" s="9" t="n">
        <v>0.03795</v>
      </c>
      <c r="K178" t="n">
        <v>50</v>
      </c>
      <c r="L178" s="15">
        <f>IF(J178="","",H178/J178)</f>
        <v/>
      </c>
      <c r="M178" t="inlineStr"/>
    </row>
    <row r="179">
      <c r="A179" s="7" t="n">
        <v>46223</v>
      </c>
      <c r="B179" t="inlineStr">
        <is>
          <t>C00000000220903</t>
        </is>
      </c>
      <c r="C179" t="inlineStr">
        <is>
          <t>MTP076</t>
        </is>
      </c>
      <c r="D179" t="inlineStr">
        <is>
          <t>MC 06 MİNİ KAP 60 CC PP SİYAH</t>
        </is>
      </c>
      <c r="E179" s="8" t="n">
        <v>125</v>
      </c>
      <c r="F179" t="inlineStr">
        <is>
          <t>AD</t>
        </is>
      </c>
      <c r="G179" s="9" t="n">
        <v>5</v>
      </c>
      <c r="H179" s="9" t="n">
        <v>4.7619</v>
      </c>
      <c r="I179" s="12" t="n">
        <v>625</v>
      </c>
      <c r="J179" s="9" t="n">
        <v>0.10417</v>
      </c>
      <c r="K179" t="n">
        <v>48</v>
      </c>
      <c r="L179" s="15">
        <f>IF(J179="","",H179/J179)</f>
        <v/>
      </c>
      <c r="M179" t="inlineStr">
        <is>
          <t>KDV dahil fiyat girilmiş belge (M/C serisi) - net KDV hariç</t>
        </is>
      </c>
    </row>
    <row r="180">
      <c r="A180" s="7" t="n">
        <v>46223</v>
      </c>
      <c r="B180" t="inlineStr">
        <is>
          <t>C00000000220903</t>
        </is>
      </c>
      <c r="C180" t="inlineStr">
        <is>
          <t>MTP077</t>
        </is>
      </c>
      <c r="D180" t="inlineStr">
        <is>
          <t>MC 12 MİNİ KAP 120 CC PP SİYAH PK:25</t>
        </is>
      </c>
      <c r="E180" s="8" t="n">
        <v>300</v>
      </c>
      <c r="F180" t="inlineStr">
        <is>
          <t>AD</t>
        </is>
      </c>
      <c r="G180" s="9" t="n">
        <v>6.5</v>
      </c>
      <c r="H180" s="9" t="n">
        <v>6.1905</v>
      </c>
      <c r="I180" s="12" t="n">
        <v>1950</v>
      </c>
      <c r="J180" s="9" t="n">
        <v>0.13542</v>
      </c>
      <c r="K180" t="n">
        <v>48</v>
      </c>
      <c r="L180" s="15">
        <f>IF(J180="","",H180/J180)</f>
        <v/>
      </c>
      <c r="M180" t="inlineStr">
        <is>
          <t>KDV dahil fiyat girilmiş belge (M/C serisi) - net KDV hariç</t>
        </is>
      </c>
    </row>
    <row r="181">
      <c r="A181" s="7" t="n">
        <v>46228</v>
      </c>
      <c r="B181" t="inlineStr">
        <is>
          <t>C00000000220907</t>
        </is>
      </c>
      <c r="C181" t="inlineStr">
        <is>
          <t>MTP089</t>
        </is>
      </c>
      <c r="D181" t="inlineStr">
        <is>
          <t>PP SOS KABI KAPAKLI 1 0Z 30 ML PK/50AD KL/20PK</t>
        </is>
      </c>
      <c r="E181" s="8" t="n">
        <v>2</v>
      </c>
      <c r="F181" t="inlineStr">
        <is>
          <t>PK</t>
        </is>
      </c>
      <c r="G181" s="9" t="n">
        <v>45</v>
      </c>
      <c r="H181" s="9" t="n">
        <v>42.8571</v>
      </c>
      <c r="I181" s="12" t="n">
        <v>90</v>
      </c>
      <c r="J181" s="9" t="n">
        <v>0.9375</v>
      </c>
      <c r="K181" t="n">
        <v>48</v>
      </c>
      <c r="L181" s="15">
        <f>IF(J181="","",H181/J181)</f>
        <v/>
      </c>
      <c r="M181" t="inlineStr">
        <is>
          <t>KDV dahil fiyat girilmiş belge (M/C serisi) - net KDV hariç</t>
        </is>
      </c>
    </row>
    <row r="182">
      <c r="A182" s="7" t="n">
        <v>46267</v>
      </c>
      <c r="B182" t="inlineStr">
        <is>
          <t>A00000000259302</t>
        </is>
      </c>
      <c r="C182" t="inlineStr">
        <is>
          <t>MTP089</t>
        </is>
      </c>
      <c r="D182" t="inlineStr">
        <is>
          <t>PP SOS KABI KAPAKLI 1 0Z 30 ML PK/50AD KL/20PK</t>
        </is>
      </c>
      <c r="E182" s="8" t="n">
        <v>20</v>
      </c>
      <c r="F182" t="inlineStr">
        <is>
          <t>PK</t>
        </is>
      </c>
      <c r="G182" s="9" t="n">
        <v>43.12</v>
      </c>
      <c r="H182" s="9" t="n">
        <v>43.12</v>
      </c>
      <c r="I182" s="12" t="n">
        <v>905.52</v>
      </c>
      <c r="J182" s="9" t="n">
        <v>0.88</v>
      </c>
      <c r="K182" t="n">
        <v>49</v>
      </c>
      <c r="L182" s="15">
        <f>IF(J182="","",H182/J182)</f>
        <v/>
      </c>
      <c r="M182" t="inlineStr"/>
    </row>
    <row r="183">
      <c r="A183" s="7" t="n">
        <v>46296</v>
      </c>
      <c r="B183" t="inlineStr">
        <is>
          <t>A00000000261821</t>
        </is>
      </c>
      <c r="C183" t="inlineStr">
        <is>
          <t>MTP089</t>
        </is>
      </c>
      <c r="D183" t="inlineStr">
        <is>
          <t>PP SOS KABI KAPAKLI 1 0Z 30 ML PK/50AD KL/20PK</t>
        </is>
      </c>
      <c r="E183" s="8" t="n">
        <v>20</v>
      </c>
      <c r="F183" t="inlineStr">
        <is>
          <t>PK</t>
        </is>
      </c>
      <c r="G183" s="9" t="n">
        <v>44.1</v>
      </c>
      <c r="H183" s="9" t="n">
        <v>44.1</v>
      </c>
      <c r="I183" s="12" t="n">
        <v>926.1</v>
      </c>
      <c r="J183" s="9" t="n">
        <v>0.9</v>
      </c>
      <c r="K183" t="n">
        <v>49</v>
      </c>
      <c r="L183" s="15">
        <f>IF(J183="","",H183/J183)</f>
        <v/>
      </c>
      <c r="M183" t="inlineStr"/>
    </row>
    <row r="184">
      <c r="A184" s="7" t="n">
        <v>46206</v>
      </c>
      <c r="B184" t="inlineStr">
        <is>
          <t>A00000000254579</t>
        </is>
      </c>
      <c r="C184" t="inlineStr">
        <is>
          <t>MTP090</t>
        </is>
      </c>
      <c r="D184" t="inlineStr">
        <is>
          <t>PP SOS KABI KAPAKLI 2 OZ 60 ML PK/50AD KL/20PK</t>
        </is>
      </c>
      <c r="E184" s="8" t="n">
        <v>20</v>
      </c>
      <c r="F184" t="inlineStr">
        <is>
          <t>PK</t>
        </is>
      </c>
      <c r="G184" s="9" t="n">
        <v>52</v>
      </c>
      <c r="H184" s="9" t="n">
        <v>52</v>
      </c>
      <c r="I184" s="12" t="n">
        <v>1092</v>
      </c>
      <c r="J184" s="9" t="n">
        <v>1.10638</v>
      </c>
      <c r="K184" t="n">
        <v>47</v>
      </c>
      <c r="L184" s="15">
        <f>IF(J184="","",H184/J184)</f>
        <v/>
      </c>
      <c r="M184" t="inlineStr"/>
    </row>
    <row r="185">
      <c r="A185" s="7" t="n">
        <v>46267</v>
      </c>
      <c r="B185" t="inlineStr">
        <is>
          <t>A00000000259302</t>
        </is>
      </c>
      <c r="C185" t="inlineStr">
        <is>
          <t>MTP090</t>
        </is>
      </c>
      <c r="D185" t="inlineStr">
        <is>
          <t>PP SOS KABI KAPAKLI 2 OZ 60 ML PK/50AD KL/20PK</t>
        </is>
      </c>
      <c r="E185" s="8" t="n">
        <v>20</v>
      </c>
      <c r="F185" t="inlineStr">
        <is>
          <t>PK</t>
        </is>
      </c>
      <c r="G185" s="9" t="n">
        <v>57.33</v>
      </c>
      <c r="H185" s="9" t="n">
        <v>57.33</v>
      </c>
      <c r="I185" s="12" t="n">
        <v>1203.93</v>
      </c>
      <c r="J185" s="9" t="n">
        <v>1.17</v>
      </c>
      <c r="K185" t="n">
        <v>49</v>
      </c>
      <c r="L185" s="15">
        <f>IF(J185="","",H185/J185)</f>
        <v/>
      </c>
      <c r="M185" t="inlineStr"/>
    </row>
    <row r="186">
      <c r="A186" s="7" t="n">
        <v>46204</v>
      </c>
      <c r="B186" t="inlineStr">
        <is>
          <t>A00000000254474</t>
        </is>
      </c>
      <c r="C186" t="inlineStr">
        <is>
          <t>MTP163</t>
        </is>
      </c>
      <c r="D186" t="inlineStr">
        <is>
          <t>DC 03 AYAKLI KASE 200 ML PK/30AD KL/20PK</t>
        </is>
      </c>
      <c r="E186" s="8" t="n">
        <v>1800</v>
      </c>
      <c r="F186" t="inlineStr">
        <is>
          <t>AD</t>
        </is>
      </c>
      <c r="G186" s="9" t="n">
        <v>6.11</v>
      </c>
      <c r="H186" s="9" t="n">
        <v>6.11</v>
      </c>
      <c r="I186" s="12" t="n">
        <v>11547.9</v>
      </c>
      <c r="J186" s="9" t="n">
        <v>0.13</v>
      </c>
      <c r="K186" t="n">
        <v>47</v>
      </c>
      <c r="L186" s="15">
        <f>IF(J186="","",H186/J186)</f>
        <v/>
      </c>
      <c r="M186" t="inlineStr"/>
    </row>
    <row r="187">
      <c r="A187" s="7" t="n">
        <v>46218</v>
      </c>
      <c r="B187" t="inlineStr">
        <is>
          <t>A00000000255479</t>
        </is>
      </c>
      <c r="C187" t="inlineStr">
        <is>
          <t>MTP163</t>
        </is>
      </c>
      <c r="D187" t="inlineStr">
        <is>
          <t>DC 03 AYAKLI KASE 200 ML PK/30AD KL/20PK</t>
        </is>
      </c>
      <c r="E187" s="8" t="n">
        <v>1200</v>
      </c>
      <c r="F187" t="inlineStr">
        <is>
          <t>AD</t>
        </is>
      </c>
      <c r="G187" s="9" t="n">
        <v>6.24</v>
      </c>
      <c r="H187" s="9" t="n">
        <v>6.24</v>
      </c>
      <c r="I187" s="12" t="n">
        <v>7862.4</v>
      </c>
      <c r="J187" s="9" t="n">
        <v>0.13</v>
      </c>
      <c r="K187" t="n">
        <v>48</v>
      </c>
      <c r="L187" s="15">
        <f>IF(J187="","",H187/J187)</f>
        <v/>
      </c>
      <c r="M187" t="inlineStr"/>
    </row>
    <row r="188">
      <c r="A188" s="7" t="n">
        <v>46224</v>
      </c>
      <c r="B188" t="inlineStr">
        <is>
          <t>A00000000256028</t>
        </is>
      </c>
      <c r="C188" t="inlineStr">
        <is>
          <t>MTP163</t>
        </is>
      </c>
      <c r="D188" t="inlineStr">
        <is>
          <t>DC 03 AYAKLI KASE 200 ML PK/30AD KL/20PK</t>
        </is>
      </c>
      <c r="E188" s="8" t="n">
        <v>1200</v>
      </c>
      <c r="F188" t="inlineStr">
        <is>
          <t>AD</t>
        </is>
      </c>
      <c r="G188" s="9" t="n">
        <v>6.24</v>
      </c>
      <c r="H188" s="9" t="n">
        <v>6.24</v>
      </c>
      <c r="I188" s="12" t="n">
        <v>7862.4</v>
      </c>
      <c r="J188" s="9" t="n">
        <v>0.13</v>
      </c>
      <c r="K188" t="n">
        <v>48</v>
      </c>
      <c r="L188" s="15">
        <f>IF(J188="","",H188/J188)</f>
        <v/>
      </c>
      <c r="M188" t="inlineStr"/>
    </row>
    <row r="189">
      <c r="A189" s="7" t="n">
        <v>46231</v>
      </c>
      <c r="B189" t="inlineStr">
        <is>
          <t>A00000000256596</t>
        </is>
      </c>
      <c r="C189" t="inlineStr">
        <is>
          <t>MTP163</t>
        </is>
      </c>
      <c r="D189" t="inlineStr">
        <is>
          <t>DC 03 AYAKLI KASE 200 ML PK/30AD KL/20PK</t>
        </is>
      </c>
      <c r="E189" s="8" t="n">
        <v>1200</v>
      </c>
      <c r="F189" t="inlineStr">
        <is>
          <t>AD</t>
        </is>
      </c>
      <c r="G189" s="9" t="n">
        <v>6.24</v>
      </c>
      <c r="H189" s="9" t="n">
        <v>6.24</v>
      </c>
      <c r="I189" s="12" t="n">
        <v>7862.4</v>
      </c>
      <c r="J189" s="9" t="n">
        <v>0.13</v>
      </c>
      <c r="K189" t="n">
        <v>48</v>
      </c>
      <c r="L189" s="15">
        <f>IF(J189="","",H189/J189)</f>
        <v/>
      </c>
      <c r="M189" t="inlineStr"/>
    </row>
    <row r="190">
      <c r="A190" s="7" t="n">
        <v>46238</v>
      </c>
      <c r="B190" t="inlineStr">
        <is>
          <t>A00000000257116</t>
        </is>
      </c>
      <c r="C190" t="inlineStr">
        <is>
          <t>MTP163</t>
        </is>
      </c>
      <c r="D190" t="inlineStr">
        <is>
          <t>DC 03 AYAKLI KASE 200 ML PK/30AD KL/20PK</t>
        </is>
      </c>
      <c r="E190" s="8" t="n">
        <v>1200</v>
      </c>
      <c r="F190" t="inlineStr">
        <is>
          <t>AD</t>
        </is>
      </c>
      <c r="G190" s="9" t="n">
        <v>6.24</v>
      </c>
      <c r="H190" s="9" t="n">
        <v>6.24</v>
      </c>
      <c r="I190" s="12" t="n">
        <v>7862.4</v>
      </c>
      <c r="J190" s="9" t="n">
        <v>0.13</v>
      </c>
      <c r="K190" t="n">
        <v>48</v>
      </c>
      <c r="L190" s="15">
        <f>IF(J190="","",H190/J190)</f>
        <v/>
      </c>
      <c r="M190" t="inlineStr"/>
    </row>
    <row r="191">
      <c r="A191" s="7" t="n">
        <v>46258</v>
      </c>
      <c r="B191" t="inlineStr">
        <is>
          <t>A00000000258719</t>
        </is>
      </c>
      <c r="C191" t="inlineStr">
        <is>
          <t>MTP163</t>
        </is>
      </c>
      <c r="D191" t="inlineStr">
        <is>
          <t>DC 03 AYAKLI KASE 200 ML PK/30AD KL/20PK</t>
        </is>
      </c>
      <c r="E191" s="8" t="n">
        <v>1200</v>
      </c>
      <c r="F191" t="inlineStr">
        <is>
          <t>AD</t>
        </is>
      </c>
      <c r="G191" s="9" t="n">
        <v>6.24</v>
      </c>
      <c r="H191" s="9" t="n">
        <v>6.24</v>
      </c>
      <c r="I191" s="12" t="n">
        <v>7862.4</v>
      </c>
      <c r="J191" s="9" t="n">
        <v>0.13</v>
      </c>
      <c r="K191" t="n">
        <v>48</v>
      </c>
      <c r="L191" s="15">
        <f>IF(J191="","",H191/J191)</f>
        <v/>
      </c>
      <c r="M191" t="inlineStr"/>
    </row>
    <row r="192">
      <c r="A192" s="7" t="n">
        <v>46267</v>
      </c>
      <c r="B192" t="inlineStr">
        <is>
          <t>A00000000259302</t>
        </is>
      </c>
      <c r="C192" t="inlineStr">
        <is>
          <t>MTP163</t>
        </is>
      </c>
      <c r="D192" t="inlineStr">
        <is>
          <t>DC 03 AYAKLI KASE 200 ML PK/30AD KL/20PK</t>
        </is>
      </c>
      <c r="E192" s="8" t="n">
        <v>2400</v>
      </c>
      <c r="F192" t="inlineStr">
        <is>
          <t>AD</t>
        </is>
      </c>
      <c r="G192" s="9" t="n">
        <v>6.37</v>
      </c>
      <c r="H192" s="9" t="n">
        <v>6.37</v>
      </c>
      <c r="I192" s="12" t="n">
        <v>16052.4</v>
      </c>
      <c r="J192" s="9" t="n">
        <v>0.13</v>
      </c>
      <c r="K192" t="n">
        <v>49</v>
      </c>
      <c r="L192" s="15">
        <f>IF(J192="","",H192/J192)</f>
        <v/>
      </c>
      <c r="M192" t="inlineStr"/>
    </row>
    <row r="193">
      <c r="A193" s="7" t="n">
        <v>46281</v>
      </c>
      <c r="B193" t="inlineStr">
        <is>
          <t>A00000000260500</t>
        </is>
      </c>
      <c r="C193" t="inlineStr">
        <is>
          <t>MTP163</t>
        </is>
      </c>
      <c r="D193" t="inlineStr">
        <is>
          <t>DC 03 AYAKLI KASE 200 ML PK/30AD KL/20PK</t>
        </is>
      </c>
      <c r="E193" s="8" t="n">
        <v>600</v>
      </c>
      <c r="F193" t="inlineStr">
        <is>
          <t>AD</t>
        </is>
      </c>
      <c r="G193" s="9" t="n">
        <v>6.37</v>
      </c>
      <c r="H193" s="9" t="n">
        <v>6.37</v>
      </c>
      <c r="I193" s="12" t="n">
        <v>4013.1</v>
      </c>
      <c r="J193" s="9" t="n">
        <v>0.13</v>
      </c>
      <c r="K193" t="n">
        <v>49</v>
      </c>
      <c r="L193" s="15">
        <f>IF(J193="","",H193/J193)</f>
        <v/>
      </c>
      <c r="M193" t="inlineStr"/>
    </row>
    <row r="194">
      <c r="A194" s="7" t="n">
        <v>46287</v>
      </c>
      <c r="B194" t="inlineStr">
        <is>
          <t>A00000000260893</t>
        </is>
      </c>
      <c r="C194" t="inlineStr">
        <is>
          <t>MTP163</t>
        </is>
      </c>
      <c r="D194" t="inlineStr">
        <is>
          <t>DC 03 AYAKLI KASE 200 ML PK/30AD KL/20PK</t>
        </is>
      </c>
      <c r="E194" s="8" t="n">
        <v>600</v>
      </c>
      <c r="F194" t="inlineStr">
        <is>
          <t>AD</t>
        </is>
      </c>
      <c r="G194" s="9" t="n">
        <v>6.37</v>
      </c>
      <c r="H194" s="9" t="n">
        <v>6.37</v>
      </c>
      <c r="I194" s="12" t="n">
        <v>4013.1</v>
      </c>
      <c r="J194" s="9" t="n">
        <v>0.13</v>
      </c>
      <c r="K194" t="n">
        <v>49</v>
      </c>
      <c r="L194" s="15">
        <f>IF(J194="","",H194/J194)</f>
        <v/>
      </c>
      <c r="M194" t="inlineStr"/>
    </row>
    <row r="195">
      <c r="A195" s="7" t="n">
        <v>46296</v>
      </c>
      <c r="B195" t="inlineStr">
        <is>
          <t>A00000000261821</t>
        </is>
      </c>
      <c r="C195" t="inlineStr">
        <is>
          <t>MTP163</t>
        </is>
      </c>
      <c r="D195" t="inlineStr">
        <is>
          <t>DC 03 AYAKLI KASE 200 ML PK/30AD KL/20PK</t>
        </is>
      </c>
      <c r="E195" s="8" t="n">
        <v>1200</v>
      </c>
      <c r="F195" t="inlineStr">
        <is>
          <t>AD</t>
        </is>
      </c>
      <c r="G195" s="9" t="n">
        <v>6.37</v>
      </c>
      <c r="H195" s="9" t="n">
        <v>6.37</v>
      </c>
      <c r="I195" s="12" t="n">
        <v>8026.2</v>
      </c>
      <c r="J195" s="9" t="n">
        <v>0.13</v>
      </c>
      <c r="K195" t="n">
        <v>49</v>
      </c>
      <c r="L195" s="15">
        <f>IF(J195="","",H195/J195)</f>
        <v/>
      </c>
      <c r="M195" t="inlineStr"/>
    </row>
    <row r="196">
      <c r="A196" s="7" t="n">
        <v>46311</v>
      </c>
      <c r="B196" t="inlineStr">
        <is>
          <t>A00000000263306</t>
        </is>
      </c>
      <c r="C196" t="inlineStr">
        <is>
          <t>MTP163</t>
        </is>
      </c>
      <c r="D196" t="inlineStr">
        <is>
          <t>DC 03 AYAKLI KASE 200 ML PK/30AD KL/20PK</t>
        </is>
      </c>
      <c r="E196" s="8" t="n">
        <v>600</v>
      </c>
      <c r="F196" t="inlineStr">
        <is>
          <t>AD</t>
        </is>
      </c>
      <c r="G196" s="9" t="n">
        <v>6.5</v>
      </c>
      <c r="H196" s="9" t="n">
        <v>6.5</v>
      </c>
      <c r="I196" s="12" t="n">
        <v>4095</v>
      </c>
      <c r="J196" s="9" t="n">
        <v>0.13</v>
      </c>
      <c r="K196" t="n">
        <v>50</v>
      </c>
      <c r="L196" s="15">
        <f>IF(J196="","",H196/J196)</f>
        <v/>
      </c>
      <c r="M196" t="inlineStr"/>
    </row>
    <row r="197">
      <c r="A197" s="7" t="n">
        <v>46234</v>
      </c>
      <c r="B197" t="inlineStr">
        <is>
          <t>A00000000256966</t>
        </is>
      </c>
      <c r="C197" t="inlineStr">
        <is>
          <t>MTP219</t>
        </is>
      </c>
      <c r="D197" t="inlineStr">
        <is>
          <t>EMZİKLİ 95LİK KİLİTLİ PET KAPAK KL/1000</t>
        </is>
      </c>
      <c r="E197" s="8" t="n">
        <v>1000</v>
      </c>
      <c r="F197" t="inlineStr">
        <is>
          <t>AD</t>
        </is>
      </c>
      <c r="G197" s="9" t="n">
        <v>1.44</v>
      </c>
      <c r="H197" s="9" t="n">
        <v>1.44</v>
      </c>
      <c r="I197" s="12" t="n">
        <v>1512</v>
      </c>
      <c r="J197" s="9" t="n">
        <v>0.03</v>
      </c>
      <c r="K197" t="n">
        <v>48</v>
      </c>
      <c r="L197" s="15">
        <f>IF(J197="","",H197/J197)</f>
        <v/>
      </c>
      <c r="M197" t="inlineStr"/>
    </row>
    <row r="198">
      <c r="A198" s="7" t="n">
        <v>46235</v>
      </c>
      <c r="B198" t="inlineStr">
        <is>
          <t>A00000000257000</t>
        </is>
      </c>
      <c r="C198" t="inlineStr">
        <is>
          <t>MTP219</t>
        </is>
      </c>
      <c r="D198" t="inlineStr">
        <is>
          <t>EMZİKLİ 95LİK KİLİTLİ PET KAPAK KL/1000</t>
        </is>
      </c>
      <c r="E198" s="8" t="n">
        <v>4000</v>
      </c>
      <c r="F198" t="inlineStr">
        <is>
          <t>AD</t>
        </is>
      </c>
      <c r="G198" s="9" t="n">
        <v>1.44</v>
      </c>
      <c r="H198" s="9" t="n">
        <v>1.44</v>
      </c>
      <c r="I198" s="12" t="n">
        <v>6048</v>
      </c>
      <c r="J198" s="9" t="n">
        <v>0.03</v>
      </c>
      <c r="K198" t="n">
        <v>48</v>
      </c>
      <c r="L198" s="15">
        <f>IF(J198="","",H198/J198)</f>
        <v/>
      </c>
      <c r="M198" t="inlineStr"/>
    </row>
    <row r="199">
      <c r="A199" s="7" t="n">
        <v>46311</v>
      </c>
      <c r="B199" t="inlineStr">
        <is>
          <t>A00000000263306</t>
        </is>
      </c>
      <c r="C199" t="inlineStr">
        <is>
          <t>NKO678</t>
        </is>
      </c>
      <c r="D199" t="inlineStr">
        <is>
          <t>TURŞU POŞETİ  13 x 23 CM 12MİC PK/500AD KL/20 PK</t>
        </is>
      </c>
      <c r="E199" s="8" t="n">
        <v>3</v>
      </c>
      <c r="F199" t="inlineStr">
        <is>
          <t>PK</t>
        </is>
      </c>
      <c r="G199" s="9" t="n">
        <v>100</v>
      </c>
      <c r="H199" s="9" t="n">
        <v>100</v>
      </c>
      <c r="I199" s="12" t="n">
        <v>315</v>
      </c>
      <c r="J199" s="9" t="n"/>
      <c r="K199" t="n">
        <v>50</v>
      </c>
      <c r="L199" s="15">
        <f>IF(J199="","",H199/J199)</f>
        <v/>
      </c>
      <c r="M199" t="inlineStr"/>
    </row>
    <row r="200">
      <c r="A200" s="7" t="n">
        <v>46255</v>
      </c>
      <c r="B200" t="inlineStr">
        <is>
          <t>M00000000257484</t>
        </is>
      </c>
      <c r="C200" t="inlineStr">
        <is>
          <t>OZT004</t>
        </is>
      </c>
      <c r="D200" t="inlineStr">
        <is>
          <t>POŞET OPP BANTLI 13X15CM PK/1000AD</t>
        </is>
      </c>
      <c r="E200" s="8" t="n">
        <v>1</v>
      </c>
      <c r="F200" t="inlineStr">
        <is>
          <t>PK</t>
        </is>
      </c>
      <c r="G200" s="9" t="n">
        <v>920</v>
      </c>
      <c r="H200" s="9" t="n">
        <v>876.1905</v>
      </c>
      <c r="I200" s="12" t="n">
        <v>920</v>
      </c>
      <c r="J200" s="9" t="n">
        <v>19.16667</v>
      </c>
      <c r="K200" t="n">
        <v>48</v>
      </c>
      <c r="L200" s="15">
        <f>IF(J200="","",H200/J200)</f>
        <v/>
      </c>
      <c r="M200" t="inlineStr">
        <is>
          <t>KDV dahil fiyat girilmiş belge (M/C serisi) - net KDV hariç</t>
        </is>
      </c>
    </row>
    <row r="201">
      <c r="A201" s="7" t="n">
        <v>46210</v>
      </c>
      <c r="B201" t="inlineStr">
        <is>
          <t>A00000000255017</t>
        </is>
      </c>
      <c r="C201" t="inlineStr">
        <is>
          <t>OZT006</t>
        </is>
      </c>
      <c r="D201" t="inlineStr">
        <is>
          <t>POŞET OPP BANTLI 12X20CM PK/1000AD</t>
        </is>
      </c>
      <c r="E201" s="8" t="n">
        <v>10</v>
      </c>
      <c r="F201" t="inlineStr">
        <is>
          <t>PK</t>
        </is>
      </c>
      <c r="G201" s="9" t="n">
        <v>908.98</v>
      </c>
      <c r="H201" s="9" t="n">
        <v>908.98</v>
      </c>
      <c r="I201" s="12" t="n">
        <v>9544.290000000001</v>
      </c>
      <c r="J201" s="9" t="n">
        <v>19.34</v>
      </c>
      <c r="K201" t="n">
        <v>47</v>
      </c>
      <c r="L201" s="15">
        <f>IF(J201="","",H201/J201)</f>
        <v/>
      </c>
      <c r="M201" t="inlineStr"/>
    </row>
    <row r="202">
      <c r="A202" s="7" t="n">
        <v>46260</v>
      </c>
      <c r="B202" t="inlineStr">
        <is>
          <t>A00000000258910</t>
        </is>
      </c>
      <c r="C202" t="inlineStr">
        <is>
          <t>OZT007</t>
        </is>
      </c>
      <c r="D202" t="inlineStr">
        <is>
          <t>POŞET OPP BANTLI 15X30CM PK/1000AD</t>
        </is>
      </c>
      <c r="E202" s="8" t="n">
        <v>2</v>
      </c>
      <c r="F202" t="inlineStr">
        <is>
          <t>PK</t>
        </is>
      </c>
      <c r="G202" s="9" t="n">
        <v>1429.92</v>
      </c>
      <c r="H202" s="9" t="n">
        <v>1429.92</v>
      </c>
      <c r="I202" s="12" t="n">
        <v>3002.83</v>
      </c>
      <c r="J202" s="9" t="n">
        <v>29.79</v>
      </c>
      <c r="K202" t="n">
        <v>48</v>
      </c>
      <c r="L202" s="15">
        <f>IF(J202="","",H202/J202)</f>
        <v/>
      </c>
      <c r="M202" t="inlineStr"/>
    </row>
    <row r="203">
      <c r="A203" s="7" t="n">
        <v>46210</v>
      </c>
      <c r="B203" t="inlineStr">
        <is>
          <t>A00000000255017</t>
        </is>
      </c>
      <c r="C203" t="inlineStr">
        <is>
          <t>PCK00203</t>
        </is>
      </c>
      <c r="D203" t="inlineStr">
        <is>
          <t>PİŞİRME 40X60 TABAKA 500 ADETLİ DR PACK 5,24KG/PK</t>
        </is>
      </c>
      <c r="E203" s="8" t="n">
        <v>10</v>
      </c>
      <c r="F203" t="inlineStr">
        <is>
          <t>PK</t>
        </is>
      </c>
      <c r="G203" s="9" t="n">
        <v>1654.87</v>
      </c>
      <c r="H203" s="9" t="n">
        <v>1654.87</v>
      </c>
      <c r="I203" s="12" t="n">
        <v>19196.49</v>
      </c>
      <c r="J203" s="9" t="n">
        <v>35.21</v>
      </c>
      <c r="K203" t="n">
        <v>47</v>
      </c>
      <c r="L203" s="15">
        <f>IF(J203="","",H203/J203)</f>
        <v/>
      </c>
      <c r="M203" t="inlineStr"/>
    </row>
    <row r="204">
      <c r="A204" s="7" t="n">
        <v>46218</v>
      </c>
      <c r="B204" t="inlineStr">
        <is>
          <t>A00000000255479</t>
        </is>
      </c>
      <c r="C204" t="inlineStr">
        <is>
          <t>PCK00203</t>
        </is>
      </c>
      <c r="D204" t="inlineStr">
        <is>
          <t>PİŞİRME 40X60 TABAKA 500 ADETLİ DR PACK 5,24KG/PK</t>
        </is>
      </c>
      <c r="E204" s="8" t="n">
        <v>8</v>
      </c>
      <c r="F204" t="inlineStr">
        <is>
          <t>PK</t>
        </is>
      </c>
      <c r="G204" s="9" t="n">
        <v>1690.08</v>
      </c>
      <c r="H204" s="9" t="n">
        <v>1690.08</v>
      </c>
      <c r="I204" s="12" t="n">
        <v>15683.94</v>
      </c>
      <c r="J204" s="9" t="n">
        <v>35.21</v>
      </c>
      <c r="K204" t="n">
        <v>48</v>
      </c>
      <c r="L204" s="15">
        <f>IF(J204="","",H204/J204)</f>
        <v/>
      </c>
      <c r="M204" t="inlineStr"/>
    </row>
    <row r="205">
      <c r="A205" s="7" t="n">
        <v>46224</v>
      </c>
      <c r="B205" t="inlineStr">
        <is>
          <t>A00000000256028</t>
        </is>
      </c>
      <c r="C205" t="inlineStr">
        <is>
          <t>PCK00203</t>
        </is>
      </c>
      <c r="D205" t="inlineStr">
        <is>
          <t>PİŞİRME 40X60 TABAKA 500 ADETLİ DR PACK 5,24KG/PK</t>
        </is>
      </c>
      <c r="E205" s="8" t="n">
        <v>4</v>
      </c>
      <c r="F205" t="inlineStr">
        <is>
          <t>PK</t>
        </is>
      </c>
      <c r="G205" s="9" t="n">
        <v>1690.08</v>
      </c>
      <c r="H205" s="9" t="n">
        <v>1690.08</v>
      </c>
      <c r="I205" s="12" t="n">
        <v>7841.97</v>
      </c>
      <c r="J205" s="9" t="n">
        <v>35.21</v>
      </c>
      <c r="K205" t="n">
        <v>48</v>
      </c>
      <c r="L205" s="15">
        <f>IF(J205="","",H205/J205)</f>
        <v/>
      </c>
      <c r="M205" t="inlineStr"/>
    </row>
    <row r="206">
      <c r="A206" s="7" t="n">
        <v>46231</v>
      </c>
      <c r="B206" t="inlineStr">
        <is>
          <t>A00000000256596</t>
        </is>
      </c>
      <c r="C206" t="inlineStr">
        <is>
          <t>PCK00203</t>
        </is>
      </c>
      <c r="D206" t="inlineStr">
        <is>
          <t>PİŞİRME 40X60 TABAKA 500 ADETLİ DR PACK 5,24KG/PK</t>
        </is>
      </c>
      <c r="E206" s="8" t="n">
        <v>4</v>
      </c>
      <c r="F206" t="inlineStr">
        <is>
          <t>PK</t>
        </is>
      </c>
      <c r="G206" s="9" t="n">
        <v>1690.08</v>
      </c>
      <c r="H206" s="9" t="n">
        <v>1690.08</v>
      </c>
      <c r="I206" s="12" t="n">
        <v>7841.97</v>
      </c>
      <c r="J206" s="9" t="n">
        <v>35.21</v>
      </c>
      <c r="K206" t="n">
        <v>48</v>
      </c>
      <c r="L206" s="15">
        <f>IF(J206="","",H206/J206)</f>
        <v/>
      </c>
      <c r="M206" t="inlineStr"/>
    </row>
    <row r="207">
      <c r="A207" s="7" t="n">
        <v>46238</v>
      </c>
      <c r="B207" t="inlineStr">
        <is>
          <t>A00000000257116</t>
        </is>
      </c>
      <c r="C207" t="inlineStr">
        <is>
          <t>PCK00203</t>
        </is>
      </c>
      <c r="D207" t="inlineStr">
        <is>
          <t>PİŞİRME 40X60 TABAKA 500 ADETLİ DR PACK 5,24KG/PK</t>
        </is>
      </c>
      <c r="E207" s="8" t="n">
        <v>10</v>
      </c>
      <c r="F207" t="inlineStr">
        <is>
          <t>PK</t>
        </is>
      </c>
      <c r="G207" s="9" t="n">
        <v>1690.08</v>
      </c>
      <c r="H207" s="9" t="n">
        <v>1690.08</v>
      </c>
      <c r="I207" s="12" t="n">
        <v>19604.93</v>
      </c>
      <c r="J207" s="9" t="n">
        <v>35.21</v>
      </c>
      <c r="K207" t="n">
        <v>48</v>
      </c>
      <c r="L207" s="15">
        <f>IF(J207="","",H207/J207)</f>
        <v/>
      </c>
      <c r="M207" t="inlineStr"/>
    </row>
    <row r="208">
      <c r="A208" s="7" t="n">
        <v>46245</v>
      </c>
      <c r="B208" t="inlineStr">
        <is>
          <t>A00000000257722</t>
        </is>
      </c>
      <c r="C208" t="inlineStr">
        <is>
          <t>PCK00203</t>
        </is>
      </c>
      <c r="D208" t="inlineStr">
        <is>
          <t>PİŞİRME 40X60 TABAKA 500 ADETLİ DR PACK 5,24KG/PK</t>
        </is>
      </c>
      <c r="E208" s="8" t="n">
        <v>20</v>
      </c>
      <c r="F208" t="inlineStr">
        <is>
          <t>PK</t>
        </is>
      </c>
      <c r="G208" s="9" t="n">
        <v>1690.08</v>
      </c>
      <c r="H208" s="9" t="n">
        <v>1690.08</v>
      </c>
      <c r="I208" s="12" t="n">
        <v>39209.86</v>
      </c>
      <c r="J208" s="9" t="n">
        <v>35.21</v>
      </c>
      <c r="K208" t="n">
        <v>48</v>
      </c>
      <c r="L208" s="15">
        <f>IF(J208="","",H208/J208)</f>
        <v/>
      </c>
      <c r="M208" t="inlineStr"/>
    </row>
    <row r="209">
      <c r="A209" s="7" t="n">
        <v>46267</v>
      </c>
      <c r="B209" t="inlineStr">
        <is>
          <t>A00000000259302</t>
        </is>
      </c>
      <c r="C209" t="inlineStr">
        <is>
          <t>PCK00203</t>
        </is>
      </c>
      <c r="D209" t="inlineStr">
        <is>
          <t>PİŞİRME 40X60 TABAKA 500 ADETLİ DR PACK 5,24KG/PK</t>
        </is>
      </c>
      <c r="E209" s="8" t="n">
        <v>10</v>
      </c>
      <c r="F209" t="inlineStr">
        <is>
          <t>PK</t>
        </is>
      </c>
      <c r="G209" s="9" t="n">
        <v>1725.4272</v>
      </c>
      <c r="H209" s="9" t="n">
        <v>1725.427</v>
      </c>
      <c r="I209" s="12" t="n">
        <v>20014.95</v>
      </c>
      <c r="J209" s="9" t="n">
        <v>35.2128</v>
      </c>
      <c r="K209" t="n">
        <v>49</v>
      </c>
      <c r="L209" s="15">
        <f>IF(J209="","",H209/J209)</f>
        <v/>
      </c>
      <c r="M209" t="inlineStr"/>
    </row>
    <row r="210">
      <c r="A210" s="7" t="n">
        <v>46287</v>
      </c>
      <c r="B210" t="inlineStr">
        <is>
          <t>A00000000260893</t>
        </is>
      </c>
      <c r="C210" t="inlineStr">
        <is>
          <t>PCK00203</t>
        </is>
      </c>
      <c r="D210" t="inlineStr">
        <is>
          <t>PİŞİRME 40X60 TABAKA 500 ADETLİ DR PACK 5,24KG/PK</t>
        </is>
      </c>
      <c r="E210" s="8" t="n">
        <v>5</v>
      </c>
      <c r="F210" t="inlineStr">
        <is>
          <t>PK</t>
        </is>
      </c>
      <c r="G210" s="9" t="n">
        <v>1725.4272</v>
      </c>
      <c r="H210" s="9" t="n">
        <v>1725.428</v>
      </c>
      <c r="I210" s="12" t="n">
        <v>10007.48</v>
      </c>
      <c r="J210" s="9" t="n">
        <v>35.2128</v>
      </c>
      <c r="K210" t="n">
        <v>49</v>
      </c>
      <c r="L210" s="15">
        <f>IF(J210="","",H210/J210)</f>
        <v/>
      </c>
      <c r="M210" t="inlineStr"/>
    </row>
    <row r="211">
      <c r="A211" s="7" t="n">
        <v>46294</v>
      </c>
      <c r="B211" t="inlineStr">
        <is>
          <t>A00000000261567</t>
        </is>
      </c>
      <c r="C211" t="inlineStr">
        <is>
          <t>PCK00203</t>
        </is>
      </c>
      <c r="D211" t="inlineStr">
        <is>
          <t>PİŞİRME 40X60 TABAKA 500 ADETLİ DR PACK 5,24KG/PK</t>
        </is>
      </c>
      <c r="E211" s="8" t="n">
        <v>2</v>
      </c>
      <c r="F211" t="inlineStr">
        <is>
          <t>PK</t>
        </is>
      </c>
      <c r="G211" s="9" t="n">
        <v>1725.4272</v>
      </c>
      <c r="H211" s="9" t="n">
        <v>1725.425</v>
      </c>
      <c r="I211" s="12" t="n">
        <v>4002.99</v>
      </c>
      <c r="J211" s="9" t="n">
        <v>35.2128</v>
      </c>
      <c r="K211" t="n">
        <v>49</v>
      </c>
      <c r="L211" s="15">
        <f>IF(J211="","",H211/J211)</f>
        <v/>
      </c>
      <c r="M211" t="inlineStr"/>
    </row>
    <row r="212">
      <c r="A212" s="7" t="n">
        <v>46296</v>
      </c>
      <c r="B212" t="inlineStr">
        <is>
          <t>A00000000261821</t>
        </is>
      </c>
      <c r="C212" t="inlineStr">
        <is>
          <t>PCK00203</t>
        </is>
      </c>
      <c r="D212" t="inlineStr">
        <is>
          <t>PİŞİRME 40X60 TABAKA 500 ADETLİ DR PACK 5,24KG/PK</t>
        </is>
      </c>
      <c r="E212" s="8" t="n">
        <v>30</v>
      </c>
      <c r="F212" t="inlineStr">
        <is>
          <t>PK</t>
        </is>
      </c>
      <c r="G212" s="9" t="n">
        <v>1725.4272</v>
      </c>
      <c r="H212" s="9" t="n">
        <v>1725.4273</v>
      </c>
      <c r="I212" s="12" t="n">
        <v>60044.87</v>
      </c>
      <c r="J212" s="9" t="n">
        <v>35.2128</v>
      </c>
      <c r="K212" t="n">
        <v>49</v>
      </c>
      <c r="L212" s="15">
        <f>IF(J212="","",H212/J212)</f>
        <v/>
      </c>
      <c r="M212" t="inlineStr"/>
    </row>
    <row r="213">
      <c r="A213" s="7" t="n">
        <v>46315</v>
      </c>
      <c r="B213" t="inlineStr">
        <is>
          <t>A00000000263385</t>
        </is>
      </c>
      <c r="C213" t="inlineStr">
        <is>
          <t>PCK00203</t>
        </is>
      </c>
      <c r="D213" t="inlineStr">
        <is>
          <t>PİŞİRME 40X60 TABAKA 500 ADETLİ DR PACK 5,24KG/PK</t>
        </is>
      </c>
      <c r="E213" s="8" t="n">
        <v>4</v>
      </c>
      <c r="F213" t="inlineStr">
        <is>
          <t>PK</t>
        </is>
      </c>
      <c r="G213" s="9" t="n">
        <v>1760.64</v>
      </c>
      <c r="H213" s="9" t="n">
        <v>1760.64</v>
      </c>
      <c r="I213" s="12" t="n">
        <v>8169.37</v>
      </c>
      <c r="J213" s="9" t="n">
        <v>35.2128</v>
      </c>
      <c r="K213" t="n">
        <v>50</v>
      </c>
      <c r="L213" s="15">
        <f>IF(J213="","",H213/J213)</f>
        <v/>
      </c>
      <c r="M213" t="inlineStr"/>
    </row>
    <row r="214">
      <c r="A214" s="7" t="n">
        <v>46204</v>
      </c>
      <c r="B214" t="inlineStr">
        <is>
          <t>A00000000254474</t>
        </is>
      </c>
      <c r="C214" t="inlineStr">
        <is>
          <t>PCK00220</t>
        </is>
      </c>
      <c r="D214" t="inlineStr">
        <is>
          <t>NARİN SOURDOUGH 28X42 KL/5 KG</t>
        </is>
      </c>
      <c r="E214" s="8" t="n">
        <v>30</v>
      </c>
      <c r="F214" t="inlineStr">
        <is>
          <t>KG</t>
        </is>
      </c>
      <c r="G214" s="9" t="n">
        <v>320</v>
      </c>
      <c r="H214" s="9" t="n">
        <v>320</v>
      </c>
      <c r="I214" s="12" t="n">
        <v>10080</v>
      </c>
      <c r="J214" s="9" t="n"/>
      <c r="K214" t="n">
        <v>47</v>
      </c>
      <c r="L214" s="15">
        <f>IF(J214="","",H214/J214)</f>
        <v/>
      </c>
      <c r="M214" t="inlineStr"/>
    </row>
    <row r="215">
      <c r="A215" s="7" t="n">
        <v>46218</v>
      </c>
      <c r="B215" t="inlineStr">
        <is>
          <t>A00000000255479</t>
        </is>
      </c>
      <c r="C215" t="inlineStr">
        <is>
          <t>PCK00220</t>
        </is>
      </c>
      <c r="D215" t="inlineStr">
        <is>
          <t>NARİN SOURDOUGH 28X42 KL/5 KG</t>
        </is>
      </c>
      <c r="E215" s="8" t="n">
        <v>5</v>
      </c>
      <c r="F215" t="inlineStr">
        <is>
          <t>KG</t>
        </is>
      </c>
      <c r="G215" s="9" t="n">
        <v>320</v>
      </c>
      <c r="H215" s="9" t="n">
        <v>320</v>
      </c>
      <c r="I215" s="12" t="n">
        <v>1680</v>
      </c>
      <c r="J215" s="9" t="n"/>
      <c r="K215" t="n">
        <v>48</v>
      </c>
      <c r="L215" s="15">
        <f>IF(J215="","",H215/J215)</f>
        <v/>
      </c>
      <c r="M215" t="inlineStr"/>
    </row>
    <row r="216">
      <c r="A216" s="7" t="n">
        <v>46231</v>
      </c>
      <c r="B216" t="inlineStr">
        <is>
          <t>A00000000256596</t>
        </is>
      </c>
      <c r="C216" t="inlineStr">
        <is>
          <t>PCK00220</t>
        </is>
      </c>
      <c r="D216" t="inlineStr">
        <is>
          <t>NARİN SOURDOUGH 28X42 KL/5 KG</t>
        </is>
      </c>
      <c r="E216" s="8" t="n">
        <v>5</v>
      </c>
      <c r="F216" t="inlineStr">
        <is>
          <t>KG</t>
        </is>
      </c>
      <c r="G216" s="9" t="n">
        <v>320</v>
      </c>
      <c r="H216" s="9" t="n">
        <v>320</v>
      </c>
      <c r="I216" s="12" t="n">
        <v>1680</v>
      </c>
      <c r="J216" s="9" t="n"/>
      <c r="K216" t="n">
        <v>48</v>
      </c>
      <c r="L216" s="15">
        <f>IF(J216="","",H216/J216)</f>
        <v/>
      </c>
      <c r="M216" t="inlineStr"/>
    </row>
    <row r="217">
      <c r="A217" s="7" t="n">
        <v>46238</v>
      </c>
      <c r="B217" t="inlineStr">
        <is>
          <t>A00000000257116</t>
        </is>
      </c>
      <c r="C217" t="inlineStr">
        <is>
          <t>PCK00220</t>
        </is>
      </c>
      <c r="D217" t="inlineStr">
        <is>
          <t>NARİN SOURDOUGH 28X42 KL/5 KG</t>
        </is>
      </c>
      <c r="E217" s="8" t="n">
        <v>20</v>
      </c>
      <c r="F217" t="inlineStr">
        <is>
          <t>KG</t>
        </is>
      </c>
      <c r="G217" s="9" t="n">
        <v>320</v>
      </c>
      <c r="H217" s="9" t="n">
        <v>320</v>
      </c>
      <c r="I217" s="12" t="n">
        <v>6720</v>
      </c>
      <c r="J217" s="9" t="n"/>
      <c r="K217" t="n">
        <v>48</v>
      </c>
      <c r="L217" s="15">
        <f>IF(J217="","",H217/J217)</f>
        <v/>
      </c>
      <c r="M217" t="inlineStr"/>
    </row>
    <row r="218">
      <c r="A218" s="7" t="n">
        <v>46252</v>
      </c>
      <c r="B218" t="inlineStr">
        <is>
          <t>A00000000258193</t>
        </is>
      </c>
      <c r="C218" t="inlineStr">
        <is>
          <t>PCK00220</t>
        </is>
      </c>
      <c r="D218" t="inlineStr">
        <is>
          <t>NARİN SOURDOUGH 28X42 KL/5 KG</t>
        </is>
      </c>
      <c r="E218" s="8" t="n">
        <v>20</v>
      </c>
      <c r="F218" t="inlineStr">
        <is>
          <t>KG</t>
        </is>
      </c>
      <c r="G218" s="9" t="n">
        <v>320</v>
      </c>
      <c r="H218" s="9" t="n">
        <v>320</v>
      </c>
      <c r="I218" s="12" t="n">
        <v>6720</v>
      </c>
      <c r="J218" s="9" t="n"/>
      <c r="K218" t="n">
        <v>48</v>
      </c>
      <c r="L218" s="15">
        <f>IF(J218="","",H218/J218)</f>
        <v/>
      </c>
      <c r="M218" t="inlineStr"/>
    </row>
    <row r="219">
      <c r="A219" s="7" t="n">
        <v>46258</v>
      </c>
      <c r="B219" t="inlineStr">
        <is>
          <t>A00000000258719</t>
        </is>
      </c>
      <c r="C219" t="inlineStr">
        <is>
          <t>PCK00220</t>
        </is>
      </c>
      <c r="D219" t="inlineStr">
        <is>
          <t>NARİN SOURDOUGH 28X42 KL/5 KG</t>
        </is>
      </c>
      <c r="E219" s="8" t="n">
        <v>20</v>
      </c>
      <c r="F219" t="inlineStr">
        <is>
          <t>KG</t>
        </is>
      </c>
      <c r="G219" s="9" t="n">
        <v>320</v>
      </c>
      <c r="H219" s="9" t="n">
        <v>320</v>
      </c>
      <c r="I219" s="12" t="n">
        <v>6720</v>
      </c>
      <c r="J219" s="9" t="n"/>
      <c r="K219" t="n">
        <v>48</v>
      </c>
      <c r="L219" s="15">
        <f>IF(J219="","",H219/J219)</f>
        <v/>
      </c>
      <c r="M219" t="inlineStr"/>
    </row>
    <row r="220">
      <c r="A220" s="7" t="n">
        <v>46267</v>
      </c>
      <c r="B220" t="inlineStr">
        <is>
          <t>A00000000259302</t>
        </is>
      </c>
      <c r="C220" t="inlineStr">
        <is>
          <t>PCK00220</t>
        </is>
      </c>
      <c r="D220" t="inlineStr">
        <is>
          <t>NARİN SOURDOUGH 28X42 KL/5 KG</t>
        </is>
      </c>
      <c r="E220" s="8" t="n">
        <v>30</v>
      </c>
      <c r="F220" t="inlineStr">
        <is>
          <t>KG</t>
        </is>
      </c>
      <c r="G220" s="9" t="n">
        <v>320</v>
      </c>
      <c r="H220" s="9" t="n">
        <v>320</v>
      </c>
      <c r="I220" s="12" t="n">
        <v>10080</v>
      </c>
      <c r="J220" s="9" t="n"/>
      <c r="K220" t="n">
        <v>49</v>
      </c>
      <c r="L220" s="15">
        <f>IF(J220="","",H220/J220)</f>
        <v/>
      </c>
      <c r="M220" t="inlineStr"/>
    </row>
    <row r="221">
      <c r="A221" s="7" t="n">
        <v>46281</v>
      </c>
      <c r="B221" t="inlineStr">
        <is>
          <t>A00000000260500</t>
        </is>
      </c>
      <c r="C221" t="inlineStr">
        <is>
          <t>PCK00220</t>
        </is>
      </c>
      <c r="D221" t="inlineStr">
        <is>
          <t>NARİN SOURDOUGH 28X42 KL/5 KG</t>
        </is>
      </c>
      <c r="E221" s="8" t="n">
        <v>10</v>
      </c>
      <c r="F221" t="inlineStr">
        <is>
          <t>KG</t>
        </is>
      </c>
      <c r="G221" s="9" t="n">
        <v>320</v>
      </c>
      <c r="H221" s="9" t="n">
        <v>320</v>
      </c>
      <c r="I221" s="12" t="n">
        <v>3360</v>
      </c>
      <c r="J221" s="9" t="n"/>
      <c r="K221" t="n">
        <v>49</v>
      </c>
      <c r="L221" s="15">
        <f>IF(J221="","",H221/J221)</f>
        <v/>
      </c>
      <c r="M221" t="inlineStr"/>
    </row>
    <row r="222">
      <c r="A222" s="7" t="n">
        <v>46296</v>
      </c>
      <c r="B222" t="inlineStr">
        <is>
          <t>A00000000261821</t>
        </is>
      </c>
      <c r="C222" t="inlineStr">
        <is>
          <t>PCK00220</t>
        </is>
      </c>
      <c r="D222" t="inlineStr">
        <is>
          <t>NARİN SOURDOUGH 28X42 KL/5 KG</t>
        </is>
      </c>
      <c r="E222" s="8" t="n">
        <v>20</v>
      </c>
      <c r="F222" t="inlineStr">
        <is>
          <t>KG</t>
        </is>
      </c>
      <c r="G222" s="9" t="n">
        <v>320</v>
      </c>
      <c r="H222" s="9" t="n">
        <v>320</v>
      </c>
      <c r="I222" s="12" t="n">
        <v>6720</v>
      </c>
      <c r="J222" s="9" t="n"/>
      <c r="K222" t="n">
        <v>49</v>
      </c>
      <c r="L222" s="15">
        <f>IF(J222="","",H222/J222)</f>
        <v/>
      </c>
      <c r="M222" t="inlineStr"/>
    </row>
    <row r="223">
      <c r="A223" s="7" t="n">
        <v>46308</v>
      </c>
      <c r="B223" t="inlineStr">
        <is>
          <t>A00000000262812</t>
        </is>
      </c>
      <c r="C223" t="inlineStr">
        <is>
          <t>PCK00220</t>
        </is>
      </c>
      <c r="D223" t="inlineStr">
        <is>
          <t>NARİN SOURDOUGH 28X42 KL/5 KG</t>
        </is>
      </c>
      <c r="E223" s="8" t="n">
        <v>10</v>
      </c>
      <c r="F223" t="inlineStr">
        <is>
          <t>KG</t>
        </is>
      </c>
      <c r="G223" s="9" t="n">
        <v>320</v>
      </c>
      <c r="H223" s="9" t="n">
        <v>320</v>
      </c>
      <c r="I223" s="12" t="n">
        <v>3360</v>
      </c>
      <c r="J223" s="9" t="n"/>
      <c r="K223" t="n">
        <v>50</v>
      </c>
      <c r="L223" s="15">
        <f>IF(J223="","",H223/J223)</f>
        <v/>
      </c>
      <c r="M223" t="inlineStr"/>
    </row>
    <row r="224">
      <c r="A224" s="7" t="n">
        <v>46219</v>
      </c>
      <c r="B224" t="inlineStr">
        <is>
          <t>A00000000255687</t>
        </is>
      </c>
      <c r="C224" t="inlineStr">
        <is>
          <t>PCK0368</t>
        </is>
      </c>
      <c r="D224" t="inlineStr">
        <is>
          <t>NARİN BEYAZ YAĞLI KAĞIT 40X60</t>
        </is>
      </c>
      <c r="E224" s="8" t="n">
        <v>20</v>
      </c>
      <c r="F224" t="inlineStr">
        <is>
          <t>KG</t>
        </is>
      </c>
      <c r="G224" s="9" t="n">
        <v>320</v>
      </c>
      <c r="H224" s="9" t="n">
        <v>320</v>
      </c>
      <c r="I224" s="12" t="n">
        <v>6720</v>
      </c>
      <c r="J224" s="9" t="n"/>
      <c r="K224" t="n">
        <v>48</v>
      </c>
      <c r="L224" s="15">
        <f>IF(J224="","",H224/J224)</f>
        <v/>
      </c>
      <c r="M224" t="inlineStr"/>
    </row>
    <row r="225">
      <c r="A225" s="7" t="n">
        <v>46224</v>
      </c>
      <c r="B225" t="inlineStr">
        <is>
          <t>A00000000256028</t>
        </is>
      </c>
      <c r="C225" t="inlineStr">
        <is>
          <t>PCK0368</t>
        </is>
      </c>
      <c r="D225" t="inlineStr">
        <is>
          <t>NARİN BEYAZ YAĞLI KAĞIT 40X60</t>
        </is>
      </c>
      <c r="E225" s="8" t="n">
        <v>25</v>
      </c>
      <c r="F225" t="inlineStr">
        <is>
          <t>KG</t>
        </is>
      </c>
      <c r="G225" s="9" t="n">
        <v>320</v>
      </c>
      <c r="H225" s="9" t="n">
        <v>320</v>
      </c>
      <c r="I225" s="12" t="n">
        <v>8400</v>
      </c>
      <c r="J225" s="9" t="n"/>
      <c r="K225" t="n">
        <v>48</v>
      </c>
      <c r="L225" s="15">
        <f>IF(J225="","",H225/J225)</f>
        <v/>
      </c>
      <c r="M225" t="inlineStr"/>
    </row>
    <row r="226">
      <c r="A226" s="7" t="n">
        <v>46231</v>
      </c>
      <c r="B226" t="inlineStr">
        <is>
          <t>A00000000256596</t>
        </is>
      </c>
      <c r="C226" t="inlineStr">
        <is>
          <t>PCK0368</t>
        </is>
      </c>
      <c r="D226" t="inlineStr">
        <is>
          <t>NARİN BEYAZ YAĞLI KAĞIT 40X60</t>
        </is>
      </c>
      <c r="E226" s="8" t="n">
        <v>20</v>
      </c>
      <c r="F226" t="inlineStr">
        <is>
          <t>KG</t>
        </is>
      </c>
      <c r="G226" s="9" t="n">
        <v>320</v>
      </c>
      <c r="H226" s="9" t="n">
        <v>320</v>
      </c>
      <c r="I226" s="12" t="n">
        <v>6720</v>
      </c>
      <c r="J226" s="9" t="n"/>
      <c r="K226" t="n">
        <v>48</v>
      </c>
      <c r="L226" s="15">
        <f>IF(J226="","",H226/J226)</f>
        <v/>
      </c>
      <c r="M226" t="inlineStr"/>
    </row>
    <row r="227">
      <c r="A227" s="7" t="n">
        <v>46238</v>
      </c>
      <c r="B227" t="inlineStr">
        <is>
          <t>A00000000257116</t>
        </is>
      </c>
      <c r="C227" t="inlineStr">
        <is>
          <t>PCK0368</t>
        </is>
      </c>
      <c r="D227" t="inlineStr">
        <is>
          <t>NARİN BEYAZ YAĞLI KAĞIT 40X60</t>
        </is>
      </c>
      <c r="E227" s="8" t="n">
        <v>15</v>
      </c>
      <c r="F227" t="inlineStr">
        <is>
          <t>KG</t>
        </is>
      </c>
      <c r="G227" s="9" t="n">
        <v>320</v>
      </c>
      <c r="H227" s="9" t="n">
        <v>320</v>
      </c>
      <c r="I227" s="12" t="n">
        <v>5040</v>
      </c>
      <c r="J227" s="9" t="n"/>
      <c r="K227" t="n">
        <v>48</v>
      </c>
      <c r="L227" s="15">
        <f>IF(J227="","",H227/J227)</f>
        <v/>
      </c>
      <c r="M227" t="inlineStr"/>
    </row>
    <row r="228">
      <c r="A228" s="7" t="n">
        <v>46260</v>
      </c>
      <c r="B228" t="inlineStr">
        <is>
          <t>A00000000258910</t>
        </is>
      </c>
      <c r="C228" t="inlineStr">
        <is>
          <t>PCK0368</t>
        </is>
      </c>
      <c r="D228" t="inlineStr">
        <is>
          <t>NARİN BEYAZ YAĞLI KAĞIT 40X60</t>
        </is>
      </c>
      <c r="E228" s="8" t="n">
        <v>20</v>
      </c>
      <c r="F228" t="inlineStr">
        <is>
          <t>KG</t>
        </is>
      </c>
      <c r="G228" s="9" t="n">
        <v>320</v>
      </c>
      <c r="H228" s="9" t="n">
        <v>320</v>
      </c>
      <c r="I228" s="12" t="n">
        <v>6720</v>
      </c>
      <c r="J228" s="9" t="n"/>
      <c r="K228" t="n">
        <v>48</v>
      </c>
      <c r="L228" s="15">
        <f>IF(J228="","",H228/J228)</f>
        <v/>
      </c>
      <c r="M228" t="inlineStr"/>
    </row>
    <row r="229">
      <c r="A229" s="7" t="n">
        <v>46267</v>
      </c>
      <c r="B229" t="inlineStr">
        <is>
          <t>A00000000259302</t>
        </is>
      </c>
      <c r="C229" t="inlineStr">
        <is>
          <t>PCK0368</t>
        </is>
      </c>
      <c r="D229" t="inlineStr">
        <is>
          <t>NARİN BEYAZ YAĞLI KAĞIT 40X60</t>
        </is>
      </c>
      <c r="E229" s="8" t="n">
        <v>40</v>
      </c>
      <c r="F229" t="inlineStr">
        <is>
          <t>KG</t>
        </is>
      </c>
      <c r="G229" s="9" t="n">
        <v>320</v>
      </c>
      <c r="H229" s="9" t="n">
        <v>320</v>
      </c>
      <c r="I229" s="12" t="n">
        <v>13440</v>
      </c>
      <c r="J229" s="9" t="n"/>
      <c r="K229" t="n">
        <v>49</v>
      </c>
      <c r="L229" s="15">
        <f>IF(J229="","",H229/J229)</f>
        <v/>
      </c>
      <c r="M229" t="inlineStr"/>
    </row>
    <row r="230">
      <c r="A230" s="7" t="n">
        <v>46302</v>
      </c>
      <c r="B230" t="inlineStr">
        <is>
          <t>A00000000262289</t>
        </is>
      </c>
      <c r="C230" t="inlineStr">
        <is>
          <t>PCK0368</t>
        </is>
      </c>
      <c r="D230" t="inlineStr">
        <is>
          <t>NARİN BEYAZ YAĞLI KAĞIT 40X60</t>
        </is>
      </c>
      <c r="E230" s="8" t="n">
        <v>20</v>
      </c>
      <c r="F230" t="inlineStr">
        <is>
          <t>KG</t>
        </is>
      </c>
      <c r="G230" s="9" t="n">
        <v>320</v>
      </c>
      <c r="H230" s="9" t="n">
        <v>320</v>
      </c>
      <c r="I230" s="12" t="n">
        <v>6720</v>
      </c>
      <c r="J230" s="9" t="n"/>
      <c r="K230" t="n">
        <v>49</v>
      </c>
      <c r="L230" s="15">
        <f>IF(J230="","",H230/J230)</f>
        <v/>
      </c>
      <c r="M230" t="inlineStr"/>
    </row>
    <row r="231">
      <c r="A231" s="7" t="n">
        <v>46315</v>
      </c>
      <c r="B231" t="inlineStr">
        <is>
          <t>A00000000263385</t>
        </is>
      </c>
      <c r="C231" t="inlineStr">
        <is>
          <t>PCK0368</t>
        </is>
      </c>
      <c r="D231" t="inlineStr">
        <is>
          <t>NARİN BEYAZ YAĞLI KAĞIT 40X60</t>
        </is>
      </c>
      <c r="E231" s="8" t="n">
        <v>10</v>
      </c>
      <c r="F231" t="inlineStr">
        <is>
          <t>KG</t>
        </is>
      </c>
      <c r="G231" s="9" t="n">
        <v>320</v>
      </c>
      <c r="H231" s="9" t="n">
        <v>320</v>
      </c>
      <c r="I231" s="12" t="n">
        <v>3360</v>
      </c>
      <c r="J231" s="9" t="n"/>
      <c r="K231" t="n">
        <v>50</v>
      </c>
      <c r="L231" s="15">
        <f>IF(J231="","",H231/J231)</f>
        <v/>
      </c>
      <c r="M231" t="inlineStr"/>
    </row>
    <row r="232">
      <c r="A232" s="7" t="n">
        <v>46204</v>
      </c>
      <c r="B232" t="inlineStr">
        <is>
          <t>A00000000254474</t>
        </is>
      </c>
      <c r="C232" t="inlineStr">
        <is>
          <t>PCK10241</t>
        </is>
      </c>
      <c r="D232" t="inlineStr">
        <is>
          <t>NARİN YAĞLI KAĞIT 35X50</t>
        </is>
      </c>
      <c r="E232" s="8" t="n">
        <v>15</v>
      </c>
      <c r="F232" t="inlineStr">
        <is>
          <t>KG</t>
        </is>
      </c>
      <c r="G232" s="9" t="n">
        <v>356.73</v>
      </c>
      <c r="H232" s="9" t="n">
        <v>356.73</v>
      </c>
      <c r="I232" s="12" t="n">
        <v>5618.5</v>
      </c>
      <c r="J232" s="9" t="n">
        <v>7.59</v>
      </c>
      <c r="K232" t="n">
        <v>47</v>
      </c>
      <c r="L232" s="15">
        <f>IF(J232="","",H232/J232)</f>
        <v/>
      </c>
      <c r="M232" t="inlineStr"/>
    </row>
    <row r="233">
      <c r="A233" s="7" t="n">
        <v>46204</v>
      </c>
      <c r="B233" t="inlineStr">
        <is>
          <t>A00000000254474</t>
        </is>
      </c>
      <c r="C233" t="inlineStr">
        <is>
          <t>PCK1113</t>
        </is>
      </c>
      <c r="D233" t="inlineStr">
        <is>
          <t>ÇİZGİLİ ŞAMUA 40 X 60</t>
        </is>
      </c>
      <c r="E233" s="8" t="n">
        <v>5</v>
      </c>
      <c r="F233" t="inlineStr">
        <is>
          <t>KG</t>
        </is>
      </c>
      <c r="G233" s="9" t="n">
        <v>225.3885</v>
      </c>
      <c r="H233" s="9" t="n">
        <v>225.388</v>
      </c>
      <c r="I233" s="12" t="n">
        <v>1183.29</v>
      </c>
      <c r="J233" s="9" t="n">
        <v>4.7955</v>
      </c>
      <c r="K233" t="n">
        <v>47</v>
      </c>
      <c r="L233" s="15">
        <f>IF(J233="","",H233/J233)</f>
        <v/>
      </c>
      <c r="M233" t="inlineStr"/>
    </row>
    <row r="234">
      <c r="A234" s="7" t="n">
        <v>46206</v>
      </c>
      <c r="B234" t="inlineStr">
        <is>
          <t>A00000000254579</t>
        </is>
      </c>
      <c r="C234" t="inlineStr">
        <is>
          <t>PCK1113</t>
        </is>
      </c>
      <c r="D234" t="inlineStr">
        <is>
          <t>ÇİZGİLİ ŞAMUA 40 X 60</t>
        </is>
      </c>
      <c r="E234" s="8" t="n">
        <v>10</v>
      </c>
      <c r="F234" t="inlineStr">
        <is>
          <t>KG</t>
        </is>
      </c>
      <c r="G234" s="9" t="n">
        <v>225.3885</v>
      </c>
      <c r="H234" s="9" t="n">
        <v>225.389</v>
      </c>
      <c r="I234" s="12" t="n">
        <v>2366.58</v>
      </c>
      <c r="J234" s="9" t="n">
        <v>4.7955</v>
      </c>
      <c r="K234" t="n">
        <v>47</v>
      </c>
      <c r="L234" s="15">
        <f>IF(J234="","",H234/J234)</f>
        <v/>
      </c>
      <c r="M234" t="inlineStr"/>
    </row>
    <row r="235">
      <c r="A235" s="7" t="n">
        <v>46210</v>
      </c>
      <c r="B235" t="inlineStr">
        <is>
          <t>A00000000255017</t>
        </is>
      </c>
      <c r="C235" t="inlineStr">
        <is>
          <t>PCK1113</t>
        </is>
      </c>
      <c r="D235" t="inlineStr">
        <is>
          <t>ÇİZGİLİ ŞAMUA 40 X 60</t>
        </is>
      </c>
      <c r="E235" s="8" t="n">
        <v>15</v>
      </c>
      <c r="F235" t="inlineStr">
        <is>
          <t>KG</t>
        </is>
      </c>
      <c r="G235" s="9" t="n">
        <v>225.3885</v>
      </c>
      <c r="H235" s="9" t="n">
        <v>225.3887</v>
      </c>
      <c r="I235" s="12" t="n">
        <v>3549.87</v>
      </c>
      <c r="J235" s="9" t="n">
        <v>4.7955</v>
      </c>
      <c r="K235" t="n">
        <v>47</v>
      </c>
      <c r="L235" s="15">
        <f>IF(J235="","",H235/J235)</f>
        <v/>
      </c>
      <c r="M235" t="inlineStr"/>
    </row>
    <row r="236">
      <c r="A236" s="7" t="n">
        <v>46224</v>
      </c>
      <c r="B236" t="inlineStr">
        <is>
          <t>A00000000256028</t>
        </is>
      </c>
      <c r="C236" t="inlineStr">
        <is>
          <t>PCK1113</t>
        </is>
      </c>
      <c r="D236" t="inlineStr">
        <is>
          <t>ÇİZGİLİ ŞAMUA 40 X 60</t>
        </is>
      </c>
      <c r="E236" s="8" t="n">
        <v>15</v>
      </c>
      <c r="F236" t="inlineStr">
        <is>
          <t>KG</t>
        </is>
      </c>
      <c r="G236" s="9" t="n">
        <v>230.184</v>
      </c>
      <c r="H236" s="9" t="n">
        <v>230.184</v>
      </c>
      <c r="I236" s="12" t="n">
        <v>3625.4</v>
      </c>
      <c r="J236" s="9" t="n">
        <v>4.7955</v>
      </c>
      <c r="K236" t="n">
        <v>48</v>
      </c>
      <c r="L236" s="15">
        <f>IF(J236="","",H236/J236)</f>
        <v/>
      </c>
      <c r="M236" t="inlineStr"/>
    </row>
    <row r="237">
      <c r="A237" s="7" t="n">
        <v>46238</v>
      </c>
      <c r="B237" t="inlineStr">
        <is>
          <t>A00000000257116</t>
        </is>
      </c>
      <c r="C237" t="inlineStr">
        <is>
          <t>PCK1113</t>
        </is>
      </c>
      <c r="D237" t="inlineStr">
        <is>
          <t>ÇİZGİLİ ŞAMUA 40 X 60</t>
        </is>
      </c>
      <c r="E237" s="8" t="n">
        <v>10</v>
      </c>
      <c r="F237" t="inlineStr">
        <is>
          <t>KG</t>
        </is>
      </c>
      <c r="G237" s="9" t="n">
        <v>230</v>
      </c>
      <c r="H237" s="9" t="n">
        <v>230</v>
      </c>
      <c r="I237" s="12" t="n">
        <v>2415</v>
      </c>
      <c r="J237" s="9" t="n">
        <v>4.79167</v>
      </c>
      <c r="K237" t="n">
        <v>48</v>
      </c>
      <c r="L237" s="15">
        <f>IF(J237="","",H237/J237)</f>
        <v/>
      </c>
      <c r="M237" t="inlineStr"/>
    </row>
    <row r="238">
      <c r="A238" s="7" t="n">
        <v>46245</v>
      </c>
      <c r="B238" t="inlineStr">
        <is>
          <t>A00000000257722</t>
        </is>
      </c>
      <c r="C238" t="inlineStr">
        <is>
          <t>PCK1113</t>
        </is>
      </c>
      <c r="D238" t="inlineStr">
        <is>
          <t>ÇİZGİLİ ŞAMUA 40 X 60</t>
        </is>
      </c>
      <c r="E238" s="8" t="n">
        <v>5</v>
      </c>
      <c r="F238" t="inlineStr">
        <is>
          <t>KG</t>
        </is>
      </c>
      <c r="G238" s="9" t="n">
        <v>230.184</v>
      </c>
      <c r="H238" s="9" t="n">
        <v>230.184</v>
      </c>
      <c r="I238" s="12" t="n">
        <v>1208.47</v>
      </c>
      <c r="J238" s="9" t="n">
        <v>4.7955</v>
      </c>
      <c r="K238" t="n">
        <v>48</v>
      </c>
      <c r="L238" s="15">
        <f>IF(J238="","",H238/J238)</f>
        <v/>
      </c>
      <c r="M238" t="inlineStr"/>
    </row>
    <row r="239">
      <c r="A239" s="7" t="n">
        <v>46267</v>
      </c>
      <c r="B239" t="inlineStr">
        <is>
          <t>A00000000259302</t>
        </is>
      </c>
      <c r="C239" t="inlineStr">
        <is>
          <t>PCK1113</t>
        </is>
      </c>
      <c r="D239" t="inlineStr">
        <is>
          <t>ÇİZGİLİ ŞAMUA 40 X 60</t>
        </is>
      </c>
      <c r="E239" s="8" t="n">
        <v>10</v>
      </c>
      <c r="F239" t="inlineStr">
        <is>
          <t>KG</t>
        </is>
      </c>
      <c r="G239" s="9" t="n">
        <v>230</v>
      </c>
      <c r="H239" s="9" t="n">
        <v>230</v>
      </c>
      <c r="I239" s="12" t="n">
        <v>2415</v>
      </c>
      <c r="J239" s="9" t="n">
        <v>4.69388</v>
      </c>
      <c r="K239" t="n">
        <v>49</v>
      </c>
      <c r="L239" s="15">
        <f>IF(J239="","",H239/J239)</f>
        <v/>
      </c>
      <c r="M239" t="inlineStr"/>
    </row>
    <row r="240">
      <c r="A240" s="7" t="n">
        <v>46294</v>
      </c>
      <c r="B240" t="inlineStr">
        <is>
          <t>A00000000261567</t>
        </is>
      </c>
      <c r="C240" t="inlineStr">
        <is>
          <t>PCK1113</t>
        </is>
      </c>
      <c r="D240" t="inlineStr">
        <is>
          <t>ÇİZGİLİ ŞAMUA 40 X 60</t>
        </is>
      </c>
      <c r="E240" s="8" t="n">
        <v>10</v>
      </c>
      <c r="F240" t="inlineStr">
        <is>
          <t>KG</t>
        </is>
      </c>
      <c r="G240" s="9" t="n">
        <v>220</v>
      </c>
      <c r="H240" s="9" t="n">
        <v>220</v>
      </c>
      <c r="I240" s="12" t="n">
        <v>2310</v>
      </c>
      <c r="J240" s="9" t="n">
        <v>4.4898</v>
      </c>
      <c r="K240" t="n">
        <v>49</v>
      </c>
      <c r="L240" s="15">
        <f>IF(J240="","",H240/J240)</f>
        <v/>
      </c>
      <c r="M240" t="inlineStr"/>
    </row>
    <row r="241">
      <c r="A241" s="7" t="n">
        <v>46296</v>
      </c>
      <c r="B241" t="inlineStr">
        <is>
          <t>A00000000261821</t>
        </is>
      </c>
      <c r="C241" t="inlineStr">
        <is>
          <t>PCK1113</t>
        </is>
      </c>
      <c r="D241" t="inlineStr">
        <is>
          <t>ÇİZGİLİ ŞAMUA 40 X 60</t>
        </is>
      </c>
      <c r="E241" s="8" t="n">
        <v>15</v>
      </c>
      <c r="F241" t="inlineStr">
        <is>
          <t>KG</t>
        </is>
      </c>
      <c r="G241" s="9" t="n">
        <v>230</v>
      </c>
      <c r="H241" s="9" t="n">
        <v>230</v>
      </c>
      <c r="I241" s="12" t="n">
        <v>3622.5</v>
      </c>
      <c r="J241" s="9" t="n">
        <v>4.69388</v>
      </c>
      <c r="K241" t="n">
        <v>49</v>
      </c>
      <c r="L241" s="15">
        <f>IF(J241="","",H241/J241)</f>
        <v/>
      </c>
      <c r="M241" t="inlineStr"/>
    </row>
    <row r="242">
      <c r="A242" s="7" t="n">
        <v>46302</v>
      </c>
      <c r="B242" t="inlineStr">
        <is>
          <t>A00000000262235</t>
        </is>
      </c>
      <c r="C242" t="inlineStr">
        <is>
          <t>PCK1113</t>
        </is>
      </c>
      <c r="D242" t="inlineStr">
        <is>
          <t>ÇİZGİLİ ŞAMUA 40 X 60</t>
        </is>
      </c>
      <c r="E242" s="8" t="n">
        <v>10</v>
      </c>
      <c r="F242" t="inlineStr">
        <is>
          <t>KG</t>
        </is>
      </c>
      <c r="G242" s="9" t="n">
        <v>220</v>
      </c>
      <c r="H242" s="9" t="n">
        <v>220</v>
      </c>
      <c r="I242" s="12" t="n">
        <v>2310</v>
      </c>
      <c r="J242" s="9" t="n">
        <v>4.4898</v>
      </c>
      <c r="K242" t="n">
        <v>49</v>
      </c>
      <c r="L242" s="15">
        <f>IF(J242="","",H242/J242)</f>
        <v/>
      </c>
      <c r="M242" t="inlineStr"/>
    </row>
    <row r="243">
      <c r="A243" s="7" t="n">
        <v>46315</v>
      </c>
      <c r="B243" t="inlineStr">
        <is>
          <t>A00000000263385</t>
        </is>
      </c>
      <c r="C243" t="inlineStr">
        <is>
          <t>PCK1113</t>
        </is>
      </c>
      <c r="D243" t="inlineStr">
        <is>
          <t>ÇİZGİLİ ŞAMUA 40 X 60</t>
        </is>
      </c>
      <c r="E243" s="8" t="n">
        <v>10</v>
      </c>
      <c r="F243" t="inlineStr">
        <is>
          <t>KG</t>
        </is>
      </c>
      <c r="G243" s="9" t="n">
        <v>220</v>
      </c>
      <c r="H243" s="9" t="n">
        <v>220</v>
      </c>
      <c r="I243" s="12" t="n">
        <v>2310</v>
      </c>
      <c r="J243" s="9" t="n">
        <v>4.4</v>
      </c>
      <c r="K243" t="n">
        <v>50</v>
      </c>
      <c r="L243" s="15">
        <f>IF(J243="","",H243/J243)</f>
        <v/>
      </c>
      <c r="M243" t="inlineStr"/>
    </row>
    <row r="244">
      <c r="A244" s="7" t="n">
        <v>46204</v>
      </c>
      <c r="B244" t="inlineStr">
        <is>
          <t>A00000000254474</t>
        </is>
      </c>
      <c r="C244" t="inlineStr">
        <is>
          <t>PL001</t>
        </is>
      </c>
      <c r="D244" t="inlineStr">
        <is>
          <t>300 ML ŞEFFAF KARE PET ŞİŞE 19,5GR+KAPAK PK/50AD</t>
        </is>
      </c>
      <c r="E244" s="8" t="n">
        <v>300</v>
      </c>
      <c r="F244" t="inlineStr">
        <is>
          <t>AD</t>
        </is>
      </c>
      <c r="G244" s="9" t="n">
        <v>10.2225</v>
      </c>
      <c r="H244" s="9" t="n">
        <v>10.2225</v>
      </c>
      <c r="I244" s="12" t="n">
        <v>3220.09</v>
      </c>
      <c r="J244" s="9" t="n">
        <v>0.2175</v>
      </c>
      <c r="K244" t="n">
        <v>47</v>
      </c>
      <c r="L244" s="15">
        <f>IF(J244="","",H244/J244)</f>
        <v/>
      </c>
      <c r="M244" t="inlineStr"/>
    </row>
    <row r="245">
      <c r="A245" s="7" t="n">
        <v>46210</v>
      </c>
      <c r="B245" t="inlineStr">
        <is>
          <t>A00000000255017</t>
        </is>
      </c>
      <c r="C245" t="inlineStr">
        <is>
          <t>PL001</t>
        </is>
      </c>
      <c r="D245" t="inlineStr">
        <is>
          <t>300 ML ŞEFFAF KARE PET ŞİŞE 19,5GR+KAPAK PK/50AD</t>
        </is>
      </c>
      <c r="E245" s="8" t="n">
        <v>300</v>
      </c>
      <c r="F245" t="inlineStr">
        <is>
          <t>AD</t>
        </is>
      </c>
      <c r="G245" s="9" t="n">
        <v>10.2225</v>
      </c>
      <c r="H245" s="9" t="n">
        <v>10.2225</v>
      </c>
      <c r="I245" s="12" t="n">
        <v>3220.09</v>
      </c>
      <c r="J245" s="9" t="n">
        <v>0.2175</v>
      </c>
      <c r="K245" t="n">
        <v>47</v>
      </c>
      <c r="L245" s="15">
        <f>IF(J245="","",H245/J245)</f>
        <v/>
      </c>
      <c r="M245" t="inlineStr"/>
    </row>
    <row r="246">
      <c r="A246" s="7" t="n">
        <v>46218</v>
      </c>
      <c r="B246" t="inlineStr">
        <is>
          <t>A00000000255479</t>
        </is>
      </c>
      <c r="C246" t="inlineStr">
        <is>
          <t>PL001</t>
        </is>
      </c>
      <c r="D246" t="inlineStr">
        <is>
          <t>300 ML ŞEFFAF KARE PET ŞİŞE 19,5GR+KAPAK PK/50AD</t>
        </is>
      </c>
      <c r="E246" s="8" t="n">
        <v>200</v>
      </c>
      <c r="F246" t="inlineStr">
        <is>
          <t>AD</t>
        </is>
      </c>
      <c r="G246" s="9" t="n">
        <v>14.88</v>
      </c>
      <c r="H246" s="9" t="n">
        <v>14.88</v>
      </c>
      <c r="I246" s="12" t="n">
        <v>3124.8</v>
      </c>
      <c r="J246" s="9" t="n">
        <v>0.31</v>
      </c>
      <c r="K246" t="n">
        <v>48</v>
      </c>
      <c r="L246" s="15">
        <f>IF(J246="","",H246/J246)</f>
        <v/>
      </c>
      <c r="M246" t="inlineStr"/>
    </row>
    <row r="247">
      <c r="A247" s="7" t="n">
        <v>46231</v>
      </c>
      <c r="B247" t="inlineStr">
        <is>
          <t>A00000000256596</t>
        </is>
      </c>
      <c r="C247" t="inlineStr">
        <is>
          <t>PL001</t>
        </is>
      </c>
      <c r="D247" t="inlineStr">
        <is>
          <t>300 ML ŞEFFAF KARE PET ŞİŞE 19,5GR+KAPAK PK/50AD</t>
        </is>
      </c>
      <c r="E247" s="8" t="n">
        <v>300</v>
      </c>
      <c r="F247" t="inlineStr">
        <is>
          <t>AD</t>
        </is>
      </c>
      <c r="G247" s="9" t="n">
        <v>14.88</v>
      </c>
      <c r="H247" s="9" t="n">
        <v>14.88</v>
      </c>
      <c r="I247" s="12" t="n">
        <v>4687.2</v>
      </c>
      <c r="J247" s="9" t="n">
        <v>0.31</v>
      </c>
      <c r="K247" t="n">
        <v>48</v>
      </c>
      <c r="L247" s="15">
        <f>IF(J247="","",H247/J247)</f>
        <v/>
      </c>
      <c r="M247" t="inlineStr"/>
    </row>
    <row r="248">
      <c r="A248" s="7" t="n">
        <v>46238</v>
      </c>
      <c r="B248" t="inlineStr">
        <is>
          <t>A00000000257116</t>
        </is>
      </c>
      <c r="C248" t="inlineStr">
        <is>
          <t>PL001</t>
        </is>
      </c>
      <c r="D248" t="inlineStr">
        <is>
          <t>300 ML ŞEFFAF KARE PET ŞİŞE 19,5GR+KAPAK PK/50AD</t>
        </is>
      </c>
      <c r="E248" s="8" t="n">
        <v>500</v>
      </c>
      <c r="F248" t="inlineStr">
        <is>
          <t>AD</t>
        </is>
      </c>
      <c r="G248" s="9" t="n">
        <v>14.88</v>
      </c>
      <c r="H248" s="9" t="n">
        <v>14.88</v>
      </c>
      <c r="I248" s="12" t="n">
        <v>7812</v>
      </c>
      <c r="J248" s="9" t="n">
        <v>0.31</v>
      </c>
      <c r="K248" t="n">
        <v>48</v>
      </c>
      <c r="L248" s="15">
        <f>IF(J248="","",H248/J248)</f>
        <v/>
      </c>
      <c r="M248" t="inlineStr"/>
    </row>
    <row r="249">
      <c r="A249" s="7" t="n">
        <v>46245</v>
      </c>
      <c r="B249" t="inlineStr">
        <is>
          <t>A00000000257722</t>
        </is>
      </c>
      <c r="C249" t="inlineStr">
        <is>
          <t>PL001</t>
        </is>
      </c>
      <c r="D249" t="inlineStr">
        <is>
          <t>300 ML ŞEFFAF KARE PET ŞİŞE 19,5GR+KAPAK PK/50AD</t>
        </is>
      </c>
      <c r="E249" s="8" t="n">
        <v>500</v>
      </c>
      <c r="F249" t="inlineStr">
        <is>
          <t>AD</t>
        </is>
      </c>
      <c r="G249" s="9" t="n">
        <v>14</v>
      </c>
      <c r="H249" s="9" t="n">
        <v>14</v>
      </c>
      <c r="I249" s="12" t="n">
        <v>7350</v>
      </c>
      <c r="J249" s="9" t="n">
        <v>0.29167</v>
      </c>
      <c r="K249" t="n">
        <v>48</v>
      </c>
      <c r="L249" s="15">
        <f>IF(J249="","",H249/J249)</f>
        <v/>
      </c>
      <c r="M249" t="inlineStr"/>
    </row>
    <row r="250">
      <c r="A250" s="7" t="n">
        <v>46252</v>
      </c>
      <c r="B250" t="inlineStr">
        <is>
          <t>A00000000258193</t>
        </is>
      </c>
      <c r="C250" t="inlineStr">
        <is>
          <t>PL001</t>
        </is>
      </c>
      <c r="D250" t="inlineStr">
        <is>
          <t>300 ML ŞEFFAF KARE PET ŞİŞE 19,5GR+KAPAK PK/50AD</t>
        </is>
      </c>
      <c r="E250" s="8" t="n">
        <v>100</v>
      </c>
      <c r="F250" t="inlineStr">
        <is>
          <t>AD</t>
        </is>
      </c>
      <c r="G250" s="9" t="n">
        <v>14.88</v>
      </c>
      <c r="H250" s="9" t="n">
        <v>14.88</v>
      </c>
      <c r="I250" s="12" t="n">
        <v>1562.4</v>
      </c>
      <c r="J250" s="9" t="n">
        <v>0.31</v>
      </c>
      <c r="K250" t="n">
        <v>48</v>
      </c>
      <c r="L250" s="15">
        <f>IF(J250="","",H250/J250)</f>
        <v/>
      </c>
      <c r="M250" t="inlineStr"/>
    </row>
    <row r="251">
      <c r="A251" s="7" t="n">
        <v>46267</v>
      </c>
      <c r="B251" t="inlineStr">
        <is>
          <t>A00000000259302</t>
        </is>
      </c>
      <c r="C251" t="inlineStr">
        <is>
          <t>PL001</t>
        </is>
      </c>
      <c r="D251" t="inlineStr">
        <is>
          <t>300 ML ŞEFFAF KARE PET ŞİŞE 19,5GR+KAPAK PK/50AD</t>
        </is>
      </c>
      <c r="E251" s="8" t="n">
        <v>600</v>
      </c>
      <c r="F251" t="inlineStr">
        <is>
          <t>AD</t>
        </is>
      </c>
      <c r="G251" s="9" t="n">
        <v>15.19</v>
      </c>
      <c r="H251" s="9" t="n">
        <v>15.19</v>
      </c>
      <c r="I251" s="12" t="n">
        <v>9569.700000000001</v>
      </c>
      <c r="J251" s="9" t="n">
        <v>0.31</v>
      </c>
      <c r="K251" t="n">
        <v>49</v>
      </c>
      <c r="L251" s="15">
        <f>IF(J251="","",H251/J251)</f>
        <v/>
      </c>
      <c r="M251" t="inlineStr"/>
    </row>
    <row r="252">
      <c r="A252" s="7" t="n">
        <v>46296</v>
      </c>
      <c r="B252" t="inlineStr">
        <is>
          <t>A00000000261821</t>
        </is>
      </c>
      <c r="C252" t="inlineStr">
        <is>
          <t>PL001</t>
        </is>
      </c>
      <c r="D252" t="inlineStr">
        <is>
          <t>300 ML ŞEFFAF KARE PET ŞİŞE 19,5GR+KAPAK PK/50AD</t>
        </is>
      </c>
      <c r="E252" s="8" t="n">
        <v>500</v>
      </c>
      <c r="F252" t="inlineStr">
        <is>
          <t>AD</t>
        </is>
      </c>
      <c r="G252" s="9" t="n">
        <v>15.19</v>
      </c>
      <c r="H252" s="9" t="n">
        <v>15.19</v>
      </c>
      <c r="I252" s="12" t="n">
        <v>7974.75</v>
      </c>
      <c r="J252" s="9" t="n">
        <v>0.31</v>
      </c>
      <c r="K252" t="n">
        <v>49</v>
      </c>
      <c r="L252" s="15">
        <f>IF(J252="","",H252/J252)</f>
        <v/>
      </c>
      <c r="M252" t="inlineStr"/>
    </row>
    <row r="253">
      <c r="A253" s="7" t="n">
        <v>46308</v>
      </c>
      <c r="B253" t="inlineStr">
        <is>
          <t>A00000000262812</t>
        </is>
      </c>
      <c r="C253" t="inlineStr">
        <is>
          <t>PL001</t>
        </is>
      </c>
      <c r="D253" t="inlineStr">
        <is>
          <t>300 ML ŞEFFAF KARE PET ŞİŞE 19,5GR+KAPAK PK/50AD</t>
        </is>
      </c>
      <c r="E253" s="8" t="n">
        <v>200</v>
      </c>
      <c r="F253" t="inlineStr">
        <is>
          <t>AD</t>
        </is>
      </c>
      <c r="G253" s="9" t="n">
        <v>15.5</v>
      </c>
      <c r="H253" s="9" t="n">
        <v>15.5</v>
      </c>
      <c r="I253" s="12" t="n">
        <v>3255</v>
      </c>
      <c r="J253" s="9" t="n">
        <v>0.31</v>
      </c>
      <c r="K253" t="n">
        <v>50</v>
      </c>
      <c r="L253" s="15">
        <f>IF(J253="","",H253/J253)</f>
        <v/>
      </c>
      <c r="M253" t="inlineStr"/>
    </row>
    <row r="254">
      <c r="A254" s="7" t="n">
        <v>46315</v>
      </c>
      <c r="B254" t="inlineStr">
        <is>
          <t>A00000000263385</t>
        </is>
      </c>
      <c r="C254" t="inlineStr">
        <is>
          <t>PL001</t>
        </is>
      </c>
      <c r="D254" t="inlineStr">
        <is>
          <t>300 ML ŞEFFAF KARE PET ŞİŞE 19,5GR+KAPAK PK/50AD</t>
        </is>
      </c>
      <c r="E254" s="8" t="n">
        <v>200</v>
      </c>
      <c r="F254" t="inlineStr">
        <is>
          <t>AD</t>
        </is>
      </c>
      <c r="G254" s="9" t="n">
        <v>15.5</v>
      </c>
      <c r="H254" s="9" t="n">
        <v>15.5</v>
      </c>
      <c r="I254" s="12" t="n">
        <v>3255</v>
      </c>
      <c r="J254" s="9" t="n">
        <v>0.31</v>
      </c>
      <c r="K254" t="n">
        <v>50</v>
      </c>
      <c r="L254" s="15">
        <f>IF(J254="","",H254/J254)</f>
        <v/>
      </c>
      <c r="M254" t="inlineStr"/>
    </row>
    <row r="255">
      <c r="A255" s="7" t="n">
        <v>46204</v>
      </c>
      <c r="B255" t="inlineStr">
        <is>
          <t>A00000000254474</t>
        </is>
      </c>
      <c r="C255" t="inlineStr">
        <is>
          <t>PRNO01</t>
        </is>
      </c>
      <c r="D255" t="inlineStr">
        <is>
          <t>MATCHA POWDER CEREMONIAL TNK 100GR</t>
        </is>
      </c>
      <c r="E255" s="8" t="n">
        <v>2</v>
      </c>
      <c r="F255" t="inlineStr">
        <is>
          <t>AD</t>
        </is>
      </c>
      <c r="G255" s="9" t="n">
        <v>991.875</v>
      </c>
      <c r="H255" s="9" t="n">
        <v>991.875</v>
      </c>
      <c r="I255" s="12" t="n">
        <v>2082.94</v>
      </c>
      <c r="J255" s="9" t="n"/>
      <c r="K255" t="n">
        <v>47</v>
      </c>
      <c r="L255" s="15">
        <f>IF(J255="","",H255/J255)</f>
        <v/>
      </c>
      <c r="M255" t="inlineStr"/>
    </row>
    <row r="256">
      <c r="A256" s="7" t="n">
        <v>46218</v>
      </c>
      <c r="B256" t="inlineStr">
        <is>
          <t>A00000000255479</t>
        </is>
      </c>
      <c r="C256" t="inlineStr">
        <is>
          <t>PRNO01</t>
        </is>
      </c>
      <c r="D256" t="inlineStr">
        <is>
          <t>MATCHA POWDER CEREMONIAL TNK 100GR</t>
        </is>
      </c>
      <c r="E256" s="8" t="n">
        <v>2</v>
      </c>
      <c r="F256" t="inlineStr">
        <is>
          <t>AD</t>
        </is>
      </c>
      <c r="G256" s="9" t="n">
        <v>991.875</v>
      </c>
      <c r="H256" s="9" t="n">
        <v>991.875</v>
      </c>
      <c r="I256" s="12" t="n">
        <v>2082.94</v>
      </c>
      <c r="J256" s="9" t="n"/>
      <c r="K256" t="n">
        <v>48</v>
      </c>
      <c r="L256" s="15">
        <f>IF(J256="","",H256/J256)</f>
        <v/>
      </c>
      <c r="M256" t="inlineStr"/>
    </row>
    <row r="257">
      <c r="A257" s="7" t="n">
        <v>46224</v>
      </c>
      <c r="B257" t="inlineStr">
        <is>
          <t>A00000000256028</t>
        </is>
      </c>
      <c r="C257" t="inlineStr">
        <is>
          <t>PRNO01</t>
        </is>
      </c>
      <c r="D257" t="inlineStr">
        <is>
          <t>MATCHA POWDER CEREMONIAL TNK 100GR</t>
        </is>
      </c>
      <c r="E257" s="8" t="n">
        <v>2</v>
      </c>
      <c r="F257" t="inlineStr">
        <is>
          <t>AD</t>
        </is>
      </c>
      <c r="G257" s="9" t="n">
        <v>991.875</v>
      </c>
      <c r="H257" s="9" t="n">
        <v>991.875</v>
      </c>
      <c r="I257" s="12" t="n">
        <v>2082.94</v>
      </c>
      <c r="J257" s="9" t="n"/>
      <c r="K257" t="n">
        <v>48</v>
      </c>
      <c r="L257" s="15">
        <f>IF(J257="","",H257/J257)</f>
        <v/>
      </c>
      <c r="M257" t="inlineStr"/>
    </row>
    <row r="258">
      <c r="A258" s="7" t="n">
        <v>46231</v>
      </c>
      <c r="B258" t="inlineStr">
        <is>
          <t>A00000000256596</t>
        </is>
      </c>
      <c r="C258" t="inlineStr">
        <is>
          <t>PRNO01</t>
        </is>
      </c>
      <c r="D258" t="inlineStr">
        <is>
          <t>MATCHA POWDER CEREMONIAL TNK 100GR</t>
        </is>
      </c>
      <c r="E258" s="8" t="n">
        <v>2</v>
      </c>
      <c r="F258" t="inlineStr">
        <is>
          <t>AD</t>
        </is>
      </c>
      <c r="G258" s="9" t="n">
        <v>991.875</v>
      </c>
      <c r="H258" s="9" t="n">
        <v>991.875</v>
      </c>
      <c r="I258" s="12" t="n">
        <v>2082.94</v>
      </c>
      <c r="J258" s="9" t="n"/>
      <c r="K258" t="n">
        <v>48</v>
      </c>
      <c r="L258" s="15">
        <f>IF(J258="","",H258/J258)</f>
        <v/>
      </c>
      <c r="M258" t="inlineStr"/>
    </row>
    <row r="259">
      <c r="A259" s="7" t="n">
        <v>46238</v>
      </c>
      <c r="B259" t="inlineStr">
        <is>
          <t>A00000000257116</t>
        </is>
      </c>
      <c r="C259" t="inlineStr">
        <is>
          <t>PRNO01</t>
        </is>
      </c>
      <c r="D259" t="inlineStr">
        <is>
          <t>MATCHA POWDER CEREMONIAL TNK 100GR</t>
        </is>
      </c>
      <c r="E259" s="8" t="n">
        <v>2</v>
      </c>
      <c r="F259" t="inlineStr">
        <is>
          <t>AD</t>
        </is>
      </c>
      <c r="G259" s="9" t="n">
        <v>991.875</v>
      </c>
      <c r="H259" s="9" t="n">
        <v>991.875</v>
      </c>
      <c r="I259" s="12" t="n">
        <v>2082.94</v>
      </c>
      <c r="J259" s="9" t="n"/>
      <c r="K259" t="n">
        <v>48</v>
      </c>
      <c r="L259" s="15">
        <f>IF(J259="","",H259/J259)</f>
        <v/>
      </c>
      <c r="M259" t="inlineStr"/>
    </row>
    <row r="260">
      <c r="A260" s="7" t="n">
        <v>46252</v>
      </c>
      <c r="B260" t="inlineStr">
        <is>
          <t>A00000000258193</t>
        </is>
      </c>
      <c r="C260" t="inlineStr">
        <is>
          <t>PRNO01</t>
        </is>
      </c>
      <c r="D260" t="inlineStr">
        <is>
          <t>MATCHA POWDER CEREMONIAL TNK 100GR</t>
        </is>
      </c>
      <c r="E260" s="8" t="n">
        <v>2</v>
      </c>
      <c r="F260" t="inlineStr">
        <is>
          <t>AD</t>
        </is>
      </c>
      <c r="G260" s="9" t="n">
        <v>991.875</v>
      </c>
      <c r="H260" s="9" t="n">
        <v>991.875</v>
      </c>
      <c r="I260" s="12" t="n">
        <v>2082.94</v>
      </c>
      <c r="J260" s="9" t="n"/>
      <c r="K260" t="n">
        <v>48</v>
      </c>
      <c r="L260" s="15">
        <f>IF(J260="","",H260/J260)</f>
        <v/>
      </c>
      <c r="M260" t="inlineStr"/>
    </row>
    <row r="261">
      <c r="A261" s="7" t="n">
        <v>46273</v>
      </c>
      <c r="B261" t="inlineStr">
        <is>
          <t>A00000000259731</t>
        </is>
      </c>
      <c r="C261" t="inlineStr">
        <is>
          <t>PRNO01</t>
        </is>
      </c>
      <c r="D261" t="inlineStr">
        <is>
          <t>MATCHA POWDER CEREMONIAL TNK 100GR</t>
        </is>
      </c>
      <c r="E261" s="8" t="n">
        <v>2</v>
      </c>
      <c r="F261" t="inlineStr">
        <is>
          <t>AD</t>
        </is>
      </c>
      <c r="G261" s="9" t="n">
        <v>991.875</v>
      </c>
      <c r="H261" s="9" t="n">
        <v>991.875</v>
      </c>
      <c r="I261" s="12" t="n">
        <v>2082.94</v>
      </c>
      <c r="J261" s="9" t="n"/>
      <c r="K261" t="n">
        <v>49</v>
      </c>
      <c r="L261" s="15">
        <f>IF(J261="","",H261/J261)</f>
        <v/>
      </c>
      <c r="M261" t="inlineStr"/>
    </row>
    <row r="262">
      <c r="A262" s="7" t="n">
        <v>46281</v>
      </c>
      <c r="B262" t="inlineStr">
        <is>
          <t>A00000000260500</t>
        </is>
      </c>
      <c r="C262" t="inlineStr">
        <is>
          <t>PRNO01</t>
        </is>
      </c>
      <c r="D262" t="inlineStr">
        <is>
          <t>MATCHA POWDER CEREMONIAL TNK 100GR</t>
        </is>
      </c>
      <c r="E262" s="8" t="n">
        <v>2</v>
      </c>
      <c r="F262" t="inlineStr">
        <is>
          <t>AD</t>
        </is>
      </c>
      <c r="G262" s="9" t="n">
        <v>991.875</v>
      </c>
      <c r="H262" s="9" t="n">
        <v>991.875</v>
      </c>
      <c r="I262" s="12" t="n">
        <v>2082.94</v>
      </c>
      <c r="J262" s="9" t="n"/>
      <c r="K262" t="n">
        <v>49</v>
      </c>
      <c r="L262" s="15">
        <f>IF(J262="","",H262/J262)</f>
        <v/>
      </c>
      <c r="M262" t="inlineStr"/>
    </row>
    <row r="263">
      <c r="A263" s="7" t="n">
        <v>46296</v>
      </c>
      <c r="B263" t="inlineStr">
        <is>
          <t>A00000000261821</t>
        </is>
      </c>
      <c r="C263" t="inlineStr">
        <is>
          <t>PRNO01</t>
        </is>
      </c>
      <c r="D263" t="inlineStr">
        <is>
          <t>MATCHA POWDER CEREMONIAL TNK 100GR</t>
        </is>
      </c>
      <c r="E263" s="8" t="n">
        <v>3</v>
      </c>
      <c r="F263" t="inlineStr">
        <is>
          <t>AD</t>
        </is>
      </c>
      <c r="G263" s="9" t="n">
        <v>991.875</v>
      </c>
      <c r="H263" s="9" t="n">
        <v>991.8767</v>
      </c>
      <c r="I263" s="12" t="n">
        <v>3124.41</v>
      </c>
      <c r="J263" s="9" t="n"/>
      <c r="K263" t="n">
        <v>49</v>
      </c>
      <c r="L263" s="15">
        <f>IF(J263="","",H263/J263)</f>
        <v/>
      </c>
      <c r="M263" t="inlineStr"/>
    </row>
    <row r="264">
      <c r="A264" s="7" t="n">
        <v>46218</v>
      </c>
      <c r="B264" t="inlineStr">
        <is>
          <t>A00000000255479</t>
        </is>
      </c>
      <c r="C264" t="inlineStr">
        <is>
          <t>PTS030</t>
        </is>
      </c>
      <c r="D264" t="inlineStr">
        <is>
          <t>BİO PİPET BEYAZ 7X22  PK/250AD KL/20 PK</t>
        </is>
      </c>
      <c r="E264" s="8" t="n">
        <v>20</v>
      </c>
      <c r="F264" t="inlineStr">
        <is>
          <t>PK</t>
        </is>
      </c>
      <c r="G264" s="9" t="n">
        <v>276</v>
      </c>
      <c r="H264" s="9" t="n">
        <v>276</v>
      </c>
      <c r="I264" s="12" t="n">
        <v>6403.2</v>
      </c>
      <c r="J264" s="9" t="n">
        <v>5.75</v>
      </c>
      <c r="K264" t="n">
        <v>48</v>
      </c>
      <c r="L264" s="15">
        <f>IF(J264="","",H264/J264)</f>
        <v/>
      </c>
      <c r="M264" t="inlineStr"/>
    </row>
    <row r="265">
      <c r="A265" s="7" t="n">
        <v>46231</v>
      </c>
      <c r="B265" t="inlineStr">
        <is>
          <t>A00000000256596</t>
        </is>
      </c>
      <c r="C265" t="inlineStr">
        <is>
          <t>PTS030</t>
        </is>
      </c>
      <c r="D265" t="inlineStr">
        <is>
          <t>BİO PİPET BEYAZ 7X22  PK/250AD KL/20 PK</t>
        </is>
      </c>
      <c r="E265" s="8" t="n">
        <v>20</v>
      </c>
      <c r="F265" t="inlineStr">
        <is>
          <t>PK</t>
        </is>
      </c>
      <c r="G265" s="9" t="n">
        <v>276</v>
      </c>
      <c r="H265" s="9" t="n">
        <v>276</v>
      </c>
      <c r="I265" s="12" t="n">
        <v>6403.2</v>
      </c>
      <c r="J265" s="9" t="n">
        <v>5.75</v>
      </c>
      <c r="K265" t="n">
        <v>48</v>
      </c>
      <c r="L265" s="15">
        <f>IF(J265="","",H265/J265)</f>
        <v/>
      </c>
      <c r="M265" t="inlineStr"/>
    </row>
    <row r="266">
      <c r="A266" s="7" t="n">
        <v>46252</v>
      </c>
      <c r="B266" t="inlineStr">
        <is>
          <t>A00000000258193</t>
        </is>
      </c>
      <c r="C266" t="inlineStr">
        <is>
          <t>PTS030</t>
        </is>
      </c>
      <c r="D266" t="inlineStr">
        <is>
          <t>BİO PİPET BEYAZ 7X22  PK/250AD KL/20 PK</t>
        </is>
      </c>
      <c r="E266" s="8" t="n">
        <v>20</v>
      </c>
      <c r="F266" t="inlineStr">
        <is>
          <t>PK</t>
        </is>
      </c>
      <c r="G266" s="9" t="n">
        <v>276</v>
      </c>
      <c r="H266" s="9" t="n">
        <v>276</v>
      </c>
      <c r="I266" s="12" t="n">
        <v>6403.2</v>
      </c>
      <c r="J266" s="9" t="n">
        <v>5.75</v>
      </c>
      <c r="K266" t="n">
        <v>48</v>
      </c>
      <c r="L266" s="15">
        <f>IF(J266="","",H266/J266)</f>
        <v/>
      </c>
      <c r="M266" t="inlineStr"/>
    </row>
    <row r="267">
      <c r="A267" s="7" t="n">
        <v>46238</v>
      </c>
      <c r="B267" t="inlineStr">
        <is>
          <t>A00000000257116</t>
        </is>
      </c>
      <c r="C267" t="inlineStr">
        <is>
          <t>PTS038</t>
        </is>
      </c>
      <c r="D267" t="inlineStr">
        <is>
          <t>BİO PİPET BEYAZ 8X24 SARGILI PK/250AD KL/20</t>
        </is>
      </c>
      <c r="E267" s="8" t="n">
        <v>20</v>
      </c>
      <c r="F267" t="inlineStr">
        <is>
          <t>PK</t>
        </is>
      </c>
      <c r="G267" s="9" t="n">
        <v>276</v>
      </c>
      <c r="H267" s="9" t="n">
        <v>276</v>
      </c>
      <c r="I267" s="12" t="n">
        <v>6403.2</v>
      </c>
      <c r="J267" s="9" t="n">
        <v>5.75</v>
      </c>
      <c r="K267" t="n">
        <v>48</v>
      </c>
      <c r="L267" s="15">
        <f>IF(J267="","",H267/J267)</f>
        <v/>
      </c>
      <c r="M267" t="inlineStr"/>
    </row>
    <row r="268">
      <c r="A268" s="7" t="n">
        <v>46274</v>
      </c>
      <c r="B268" t="inlineStr">
        <is>
          <t>A00000000259852</t>
        </is>
      </c>
      <c r="C268" t="inlineStr">
        <is>
          <t>PTS038</t>
        </is>
      </c>
      <c r="D268" t="inlineStr">
        <is>
          <t>BİO PİPET BEYAZ 8X24 SARGILI PK/250AD KL/20</t>
        </is>
      </c>
      <c r="E268" s="8" t="n">
        <v>20</v>
      </c>
      <c r="F268" t="inlineStr">
        <is>
          <t>PK</t>
        </is>
      </c>
      <c r="G268" s="9" t="n">
        <v>281.75</v>
      </c>
      <c r="H268" s="9" t="n">
        <v>281.75</v>
      </c>
      <c r="I268" s="12" t="n">
        <v>6536.6</v>
      </c>
      <c r="J268" s="9" t="n">
        <v>5.75</v>
      </c>
      <c r="K268" t="n">
        <v>49</v>
      </c>
      <c r="L268" s="15">
        <f>IF(J268="","",H268/J268)</f>
        <v/>
      </c>
      <c r="M268" t="inlineStr"/>
    </row>
    <row r="269">
      <c r="A269" s="7" t="n">
        <v>46296</v>
      </c>
      <c r="B269" t="inlineStr">
        <is>
          <t>A00000000261821</t>
        </is>
      </c>
      <c r="C269" t="inlineStr">
        <is>
          <t>PTS038</t>
        </is>
      </c>
      <c r="D269" t="inlineStr">
        <is>
          <t>BİO PİPET BEYAZ 8X24 SARGILI PK/250AD KL/20</t>
        </is>
      </c>
      <c r="E269" s="8" t="n">
        <v>20</v>
      </c>
      <c r="F269" t="inlineStr">
        <is>
          <t>PK</t>
        </is>
      </c>
      <c r="G269" s="9" t="n">
        <v>281.75</v>
      </c>
      <c r="H269" s="9" t="n">
        <v>281.75</v>
      </c>
      <c r="I269" s="12" t="n">
        <v>6536.6</v>
      </c>
      <c r="J269" s="9" t="n">
        <v>5.75</v>
      </c>
      <c r="K269" t="n">
        <v>49</v>
      </c>
      <c r="L269" s="15">
        <f>IF(J269="","",H269/J269)</f>
        <v/>
      </c>
      <c r="M269" t="inlineStr"/>
    </row>
    <row r="270">
      <c r="A270" s="7" t="n">
        <v>46204</v>
      </c>
      <c r="B270" t="inlineStr">
        <is>
          <t>A00000000254474</t>
        </is>
      </c>
      <c r="C270" t="inlineStr">
        <is>
          <t>RBK006</t>
        </is>
      </c>
      <c r="D270" t="inlineStr">
        <is>
          <t>KRİSTAL KARE KASE 300ML SB.D11 PK/12 KL/288 AD</t>
        </is>
      </c>
      <c r="E270" s="8" t="n">
        <v>1152</v>
      </c>
      <c r="F270" t="inlineStr">
        <is>
          <t>AD</t>
        </is>
      </c>
      <c r="G270" s="9" t="n">
        <v>10.81</v>
      </c>
      <c r="H270" s="9" t="n">
        <v>10.81</v>
      </c>
      <c r="I270" s="12" t="n">
        <v>13075.78</v>
      </c>
      <c r="J270" s="9" t="n">
        <v>0.23</v>
      </c>
      <c r="K270" t="n">
        <v>47</v>
      </c>
      <c r="L270" s="15">
        <f>IF(J270="","",H270/J270)</f>
        <v/>
      </c>
      <c r="M270" t="inlineStr"/>
    </row>
    <row r="271">
      <c r="A271" s="7" t="n">
        <v>46210</v>
      </c>
      <c r="B271" t="inlineStr">
        <is>
          <t>A00000000255017</t>
        </is>
      </c>
      <c r="C271" t="inlineStr">
        <is>
          <t>RBK006</t>
        </is>
      </c>
      <c r="D271" t="inlineStr">
        <is>
          <t>KRİSTAL KARE KASE 300ML SB.D11 PK/12 KL/288 AD</t>
        </is>
      </c>
      <c r="E271" s="8" t="n">
        <v>576</v>
      </c>
      <c r="F271" t="inlineStr">
        <is>
          <t>AD</t>
        </is>
      </c>
      <c r="G271" s="9" t="n">
        <v>10.81</v>
      </c>
      <c r="H271" s="9" t="n">
        <v>10.81</v>
      </c>
      <c r="I271" s="12" t="n">
        <v>6537.89</v>
      </c>
      <c r="J271" s="9" t="n">
        <v>0.23</v>
      </c>
      <c r="K271" t="n">
        <v>47</v>
      </c>
      <c r="L271" s="15">
        <f>IF(J271="","",H271/J271)</f>
        <v/>
      </c>
      <c r="M271" t="inlineStr"/>
    </row>
    <row r="272">
      <c r="A272" s="7" t="n">
        <v>46218</v>
      </c>
      <c r="B272" t="inlineStr">
        <is>
          <t>A00000000255479</t>
        </is>
      </c>
      <c r="C272" t="inlineStr">
        <is>
          <t>RBK006</t>
        </is>
      </c>
      <c r="D272" t="inlineStr">
        <is>
          <t>KRİSTAL KARE KASE 300ML SB.D11 PK/12 KL/288 AD</t>
        </is>
      </c>
      <c r="E272" s="8" t="n">
        <v>576</v>
      </c>
      <c r="F272" t="inlineStr">
        <is>
          <t>AD</t>
        </is>
      </c>
      <c r="G272" s="9" t="n">
        <v>11.04</v>
      </c>
      <c r="H272" s="9" t="n">
        <v>11.04</v>
      </c>
      <c r="I272" s="12" t="n">
        <v>6676.99</v>
      </c>
      <c r="J272" s="9" t="n">
        <v>0.23</v>
      </c>
      <c r="K272" t="n">
        <v>48</v>
      </c>
      <c r="L272" s="15">
        <f>IF(J272="","",H272/J272)</f>
        <v/>
      </c>
      <c r="M272" t="inlineStr"/>
    </row>
    <row r="273">
      <c r="A273" s="7" t="n">
        <v>46231</v>
      </c>
      <c r="B273" t="inlineStr">
        <is>
          <t>A00000000256596</t>
        </is>
      </c>
      <c r="C273" t="inlineStr">
        <is>
          <t>RBK006</t>
        </is>
      </c>
      <c r="D273" t="inlineStr">
        <is>
          <t>KRİSTAL KARE KASE 300ML SB.D11 PK/12 KL/288 AD</t>
        </is>
      </c>
      <c r="E273" s="8" t="n">
        <v>576</v>
      </c>
      <c r="F273" t="inlineStr">
        <is>
          <t>AD</t>
        </is>
      </c>
      <c r="G273" s="9" t="n">
        <v>11.04</v>
      </c>
      <c r="H273" s="9" t="n">
        <v>11.04</v>
      </c>
      <c r="I273" s="12" t="n">
        <v>6676.99</v>
      </c>
      <c r="J273" s="9" t="n">
        <v>0.23</v>
      </c>
      <c r="K273" t="n">
        <v>48</v>
      </c>
      <c r="L273" s="15">
        <f>IF(J273="","",H273/J273)</f>
        <v/>
      </c>
      <c r="M273" t="inlineStr"/>
    </row>
    <row r="274">
      <c r="A274" s="7" t="n">
        <v>46238</v>
      </c>
      <c r="B274" t="inlineStr">
        <is>
          <t>A00000000257116</t>
        </is>
      </c>
      <c r="C274" t="inlineStr">
        <is>
          <t>RBK006</t>
        </is>
      </c>
      <c r="D274" t="inlineStr">
        <is>
          <t>KRİSTAL KARE KASE 300ML SB.D11 PK/12 KL/288 AD</t>
        </is>
      </c>
      <c r="E274" s="8" t="n">
        <v>576</v>
      </c>
      <c r="F274" t="inlineStr">
        <is>
          <t>AD</t>
        </is>
      </c>
      <c r="G274" s="9" t="n">
        <v>11.04</v>
      </c>
      <c r="H274" s="9" t="n">
        <v>11.04</v>
      </c>
      <c r="I274" s="12" t="n">
        <v>6676.99</v>
      </c>
      <c r="J274" s="9" t="n">
        <v>0.23</v>
      </c>
      <c r="K274" t="n">
        <v>48</v>
      </c>
      <c r="L274" s="15">
        <f>IF(J274="","",H274/J274)</f>
        <v/>
      </c>
      <c r="M274" t="inlineStr"/>
    </row>
    <row r="275">
      <c r="A275" s="7" t="n">
        <v>46252</v>
      </c>
      <c r="B275" t="inlineStr">
        <is>
          <t>A00000000258193</t>
        </is>
      </c>
      <c r="C275" t="inlineStr">
        <is>
          <t>RBK006</t>
        </is>
      </c>
      <c r="D275" t="inlineStr">
        <is>
          <t>KRİSTAL KARE KASE 300ML SB.D11 PK/12 KL/288 AD</t>
        </is>
      </c>
      <c r="E275" s="8" t="n">
        <v>576</v>
      </c>
      <c r="F275" t="inlineStr">
        <is>
          <t>AD</t>
        </is>
      </c>
      <c r="G275" s="9" t="n">
        <v>10.56</v>
      </c>
      <c r="H275" s="9" t="n">
        <v>10.56</v>
      </c>
      <c r="I275" s="12" t="n">
        <v>6386.69</v>
      </c>
      <c r="J275" s="9" t="n">
        <v>0.22</v>
      </c>
      <c r="K275" t="n">
        <v>48</v>
      </c>
      <c r="L275" s="15">
        <f>IF(J275="","",H275/J275)</f>
        <v/>
      </c>
      <c r="M275" t="inlineStr"/>
    </row>
    <row r="276">
      <c r="A276" s="7" t="n">
        <v>46258</v>
      </c>
      <c r="B276" t="inlineStr">
        <is>
          <t>A00000000258719</t>
        </is>
      </c>
      <c r="C276" t="inlineStr">
        <is>
          <t>RBK006</t>
        </is>
      </c>
      <c r="D276" t="inlineStr">
        <is>
          <t>KRİSTAL KARE KASE 300ML SB.D11 PK/12 KL/288 AD</t>
        </is>
      </c>
      <c r="E276" s="8" t="n">
        <v>576</v>
      </c>
      <c r="F276" t="inlineStr">
        <is>
          <t>AD</t>
        </is>
      </c>
      <c r="G276" s="9" t="n">
        <v>10.56</v>
      </c>
      <c r="H276" s="9" t="n">
        <v>10.56</v>
      </c>
      <c r="I276" s="12" t="n">
        <v>6386.69</v>
      </c>
      <c r="J276" s="9" t="n">
        <v>0.22</v>
      </c>
      <c r="K276" t="n">
        <v>48</v>
      </c>
      <c r="L276" s="15">
        <f>IF(J276="","",H276/J276)</f>
        <v/>
      </c>
      <c r="M276" t="inlineStr"/>
    </row>
    <row r="277">
      <c r="A277" s="7" t="n">
        <v>46267</v>
      </c>
      <c r="B277" t="inlineStr">
        <is>
          <t>A00000000259302</t>
        </is>
      </c>
      <c r="C277" t="inlineStr">
        <is>
          <t>RBK006</t>
        </is>
      </c>
      <c r="D277" t="inlineStr">
        <is>
          <t>KRİSTAL KARE KASE 300ML SB.D11 PK/12 KL/288 AD</t>
        </is>
      </c>
      <c r="E277" s="8" t="n">
        <v>1728</v>
      </c>
      <c r="F277" t="inlineStr">
        <is>
          <t>AD</t>
        </is>
      </c>
      <c r="G277" s="9" t="n">
        <v>10.78</v>
      </c>
      <c r="H277" s="9" t="n">
        <v>10.78</v>
      </c>
      <c r="I277" s="12" t="n">
        <v>19559.23</v>
      </c>
      <c r="J277" s="9" t="n">
        <v>0.22</v>
      </c>
      <c r="K277" t="n">
        <v>49</v>
      </c>
      <c r="L277" s="15">
        <f>IF(J277="","",H277/J277)</f>
        <v/>
      </c>
      <c r="M277" t="inlineStr"/>
    </row>
    <row r="278">
      <c r="A278" s="7" t="n">
        <v>46294</v>
      </c>
      <c r="B278" t="inlineStr">
        <is>
          <t>A00000000261567</t>
        </is>
      </c>
      <c r="C278" t="inlineStr">
        <is>
          <t>RBK006</t>
        </is>
      </c>
      <c r="D278" t="inlineStr">
        <is>
          <t>KRİSTAL KARE KASE 300ML SB.D11 PK/12 KL/288 AD</t>
        </is>
      </c>
      <c r="E278" s="8" t="n">
        <v>288</v>
      </c>
      <c r="F278" t="inlineStr">
        <is>
          <t>AD</t>
        </is>
      </c>
      <c r="G278" s="9" t="n">
        <v>10.78</v>
      </c>
      <c r="H278" s="9" t="n">
        <v>10.78</v>
      </c>
      <c r="I278" s="12" t="n">
        <v>3259.87</v>
      </c>
      <c r="J278" s="9" t="n">
        <v>0.22</v>
      </c>
      <c r="K278" t="n">
        <v>49</v>
      </c>
      <c r="L278" s="15">
        <f>IF(J278="","",H278/J278)</f>
        <v/>
      </c>
      <c r="M278" t="inlineStr"/>
    </row>
    <row r="279">
      <c r="A279" s="7" t="n">
        <v>46296</v>
      </c>
      <c r="B279" t="inlineStr">
        <is>
          <t>A00000000261821</t>
        </is>
      </c>
      <c r="C279" t="inlineStr">
        <is>
          <t>RBK006</t>
        </is>
      </c>
      <c r="D279" t="inlineStr">
        <is>
          <t>KRİSTAL KARE KASE 300ML SB.D11 PK/12 KL/288 AD</t>
        </is>
      </c>
      <c r="E279" s="8" t="n">
        <v>576</v>
      </c>
      <c r="F279" t="inlineStr">
        <is>
          <t>AD</t>
        </is>
      </c>
      <c r="G279" s="9" t="n">
        <v>10.78</v>
      </c>
      <c r="H279" s="9" t="n">
        <v>10.78</v>
      </c>
      <c r="I279" s="12" t="n">
        <v>6519.74</v>
      </c>
      <c r="J279" s="9" t="n">
        <v>0.22</v>
      </c>
      <c r="K279" t="n">
        <v>49</v>
      </c>
      <c r="L279" s="15">
        <f>IF(J279="","",H279/J279)</f>
        <v/>
      </c>
      <c r="M279" t="inlineStr"/>
    </row>
    <row r="280">
      <c r="A280" s="7" t="n">
        <v>46302</v>
      </c>
      <c r="B280" t="inlineStr">
        <is>
          <t>A00000000262235</t>
        </is>
      </c>
      <c r="C280" t="inlineStr">
        <is>
          <t>RBK006</t>
        </is>
      </c>
      <c r="D280" t="inlineStr">
        <is>
          <t>KRİSTAL KARE KASE 300ML SB.D11 PK/12 KL/288 AD</t>
        </is>
      </c>
      <c r="E280" s="8" t="n">
        <v>576</v>
      </c>
      <c r="F280" t="inlineStr">
        <is>
          <t>AD</t>
        </is>
      </c>
      <c r="G280" s="9" t="n">
        <v>10.78</v>
      </c>
      <c r="H280" s="9" t="n">
        <v>10.78</v>
      </c>
      <c r="I280" s="12" t="n">
        <v>6519.74</v>
      </c>
      <c r="J280" s="9" t="n">
        <v>0.22</v>
      </c>
      <c r="K280" t="n">
        <v>49</v>
      </c>
      <c r="L280" s="15">
        <f>IF(J280="","",H280/J280)</f>
        <v/>
      </c>
      <c r="M280" t="inlineStr"/>
    </row>
    <row r="281">
      <c r="A281" s="7" t="n">
        <v>46308</v>
      </c>
      <c r="B281" t="inlineStr">
        <is>
          <t>A00000000262812</t>
        </is>
      </c>
      <c r="C281" t="inlineStr">
        <is>
          <t>RBK006</t>
        </is>
      </c>
      <c r="D281" t="inlineStr">
        <is>
          <t>KRİSTAL KARE KASE 300ML SB.D11 PK/12 KL/288 AD</t>
        </is>
      </c>
      <c r="E281" s="8" t="n">
        <v>576</v>
      </c>
      <c r="F281" t="inlineStr">
        <is>
          <t>AD</t>
        </is>
      </c>
      <c r="G281" s="9" t="n">
        <v>11</v>
      </c>
      <c r="H281" s="9" t="n">
        <v>11</v>
      </c>
      <c r="I281" s="12" t="n">
        <v>6652.8</v>
      </c>
      <c r="J281" s="9" t="n">
        <v>0.22</v>
      </c>
      <c r="K281" t="n">
        <v>50</v>
      </c>
      <c r="L281" s="15">
        <f>IF(J281="","",H281/J281)</f>
        <v/>
      </c>
      <c r="M281" t="inlineStr"/>
    </row>
    <row r="282">
      <c r="A282" s="7" t="n">
        <v>46204</v>
      </c>
      <c r="B282" t="inlineStr">
        <is>
          <t>A00000000254474</t>
        </is>
      </c>
      <c r="C282" t="inlineStr">
        <is>
          <t>RBK007</t>
        </is>
      </c>
      <c r="D282" t="inlineStr">
        <is>
          <t>KARE KASE BOMBE KAPAK LD.D11 PK/48AD KL/12PK</t>
        </is>
      </c>
      <c r="E282" s="8" t="n">
        <v>1152</v>
      </c>
      <c r="F282" t="inlineStr">
        <is>
          <t>AD</t>
        </is>
      </c>
      <c r="G282" s="9" t="n">
        <v>4.324</v>
      </c>
      <c r="H282" s="9" t="n">
        <v>4.324</v>
      </c>
      <c r="I282" s="12" t="n">
        <v>5230.31</v>
      </c>
      <c r="J282" s="9" t="n">
        <v>0.092</v>
      </c>
      <c r="K282" t="n">
        <v>47</v>
      </c>
      <c r="L282" s="15">
        <f>IF(J282="","",H282/J282)</f>
        <v/>
      </c>
      <c r="M282" t="inlineStr"/>
    </row>
    <row r="283">
      <c r="A283" s="7" t="n">
        <v>46210</v>
      </c>
      <c r="B283" t="inlineStr">
        <is>
          <t>A00000000255017</t>
        </is>
      </c>
      <c r="C283" t="inlineStr">
        <is>
          <t>RBK007</t>
        </is>
      </c>
      <c r="D283" t="inlineStr">
        <is>
          <t>KARE KASE BOMBE KAPAK LD.D11 PK/48AD KL/12PK</t>
        </is>
      </c>
      <c r="E283" s="8" t="n">
        <v>576</v>
      </c>
      <c r="F283" t="inlineStr">
        <is>
          <t>AD</t>
        </is>
      </c>
      <c r="G283" s="9" t="n">
        <v>4.324</v>
      </c>
      <c r="H283" s="9" t="n">
        <v>4.324</v>
      </c>
      <c r="I283" s="12" t="n">
        <v>2615.15</v>
      </c>
      <c r="J283" s="9" t="n">
        <v>0.092</v>
      </c>
      <c r="K283" t="n">
        <v>47</v>
      </c>
      <c r="L283" s="15">
        <f>IF(J283="","",H283/J283)</f>
        <v/>
      </c>
      <c r="M283" t="inlineStr"/>
    </row>
    <row r="284">
      <c r="A284" s="7" t="n">
        <v>46218</v>
      </c>
      <c r="B284" t="inlineStr">
        <is>
          <t>A00000000255479</t>
        </is>
      </c>
      <c r="C284" t="inlineStr">
        <is>
          <t>RBK007</t>
        </is>
      </c>
      <c r="D284" t="inlineStr">
        <is>
          <t>KARE KASE BOMBE KAPAK LD.D11 PK/48AD KL/12PK</t>
        </is>
      </c>
      <c r="E284" s="8" t="n">
        <v>576</v>
      </c>
      <c r="F284" t="inlineStr">
        <is>
          <t>AD</t>
        </is>
      </c>
      <c r="G284" s="9" t="n">
        <v>4.416</v>
      </c>
      <c r="H284" s="9" t="n">
        <v>4.416</v>
      </c>
      <c r="I284" s="12" t="n">
        <v>2670.8</v>
      </c>
      <c r="J284" s="9" t="n">
        <v>0.092</v>
      </c>
      <c r="K284" t="n">
        <v>48</v>
      </c>
      <c r="L284" s="15">
        <f>IF(J284="","",H284/J284)</f>
        <v/>
      </c>
      <c r="M284" t="inlineStr"/>
    </row>
    <row r="285">
      <c r="A285" s="7" t="n">
        <v>46231</v>
      </c>
      <c r="B285" t="inlineStr">
        <is>
          <t>A00000000256596</t>
        </is>
      </c>
      <c r="C285" t="inlineStr">
        <is>
          <t>RBK007</t>
        </is>
      </c>
      <c r="D285" t="inlineStr">
        <is>
          <t>KARE KASE BOMBE KAPAK LD.D11 PK/48AD KL/12PK</t>
        </is>
      </c>
      <c r="E285" s="8" t="n">
        <v>576</v>
      </c>
      <c r="F285" t="inlineStr">
        <is>
          <t>AD</t>
        </is>
      </c>
      <c r="G285" s="9" t="n">
        <v>4.416</v>
      </c>
      <c r="H285" s="9" t="n">
        <v>4.416</v>
      </c>
      <c r="I285" s="12" t="n">
        <v>2670.8</v>
      </c>
      <c r="J285" s="9" t="n">
        <v>0.092</v>
      </c>
      <c r="K285" t="n">
        <v>48</v>
      </c>
      <c r="L285" s="15">
        <f>IF(J285="","",H285/J285)</f>
        <v/>
      </c>
      <c r="M285" t="inlineStr"/>
    </row>
    <row r="286">
      <c r="A286" s="7" t="n">
        <v>46238</v>
      </c>
      <c r="B286" t="inlineStr">
        <is>
          <t>A00000000257116</t>
        </is>
      </c>
      <c r="C286" t="inlineStr">
        <is>
          <t>RBK007</t>
        </is>
      </c>
      <c r="D286" t="inlineStr">
        <is>
          <t>KARE KASE BOMBE KAPAK LD.D11 PK/48AD KL/12PK</t>
        </is>
      </c>
      <c r="E286" s="8" t="n">
        <v>576</v>
      </c>
      <c r="F286" t="inlineStr">
        <is>
          <t>AD</t>
        </is>
      </c>
      <c r="G286" s="9" t="n">
        <v>4.416</v>
      </c>
      <c r="H286" s="9" t="n">
        <v>4.416</v>
      </c>
      <c r="I286" s="12" t="n">
        <v>2670.8</v>
      </c>
      <c r="J286" s="9" t="n">
        <v>0.092</v>
      </c>
      <c r="K286" t="n">
        <v>48</v>
      </c>
      <c r="L286" s="15">
        <f>IF(J286="","",H286/J286)</f>
        <v/>
      </c>
      <c r="M286" t="inlineStr"/>
    </row>
    <row r="287">
      <c r="A287" s="7" t="n">
        <v>46252</v>
      </c>
      <c r="B287" t="inlineStr">
        <is>
          <t>A00000000258193</t>
        </is>
      </c>
      <c r="C287" t="inlineStr">
        <is>
          <t>RBK007</t>
        </is>
      </c>
      <c r="D287" t="inlineStr">
        <is>
          <t>KARE KASE BOMBE KAPAK LD.D11 PK/48AD KL/12PK</t>
        </is>
      </c>
      <c r="E287" s="8" t="n">
        <v>576</v>
      </c>
      <c r="F287" t="inlineStr">
        <is>
          <t>AD</t>
        </is>
      </c>
      <c r="G287" s="9" t="n">
        <v>4.32</v>
      </c>
      <c r="H287" s="9" t="n">
        <v>4.32</v>
      </c>
      <c r="I287" s="12" t="n">
        <v>2612.74</v>
      </c>
      <c r="J287" s="9" t="n">
        <v>0.09</v>
      </c>
      <c r="K287" t="n">
        <v>48</v>
      </c>
      <c r="L287" s="15">
        <f>IF(J287="","",H287/J287)</f>
        <v/>
      </c>
      <c r="M287" t="inlineStr"/>
    </row>
    <row r="288">
      <c r="A288" s="7" t="n">
        <v>46258</v>
      </c>
      <c r="B288" t="inlineStr">
        <is>
          <t>A00000000258719</t>
        </is>
      </c>
      <c r="C288" t="inlineStr">
        <is>
          <t>RBK007</t>
        </is>
      </c>
      <c r="D288" t="inlineStr">
        <is>
          <t>KARE KASE BOMBE KAPAK LD.D11 PK/48AD KL/12PK</t>
        </is>
      </c>
      <c r="E288" s="8" t="n">
        <v>576</v>
      </c>
      <c r="F288" t="inlineStr">
        <is>
          <t>AD</t>
        </is>
      </c>
      <c r="G288" s="9" t="n">
        <v>4.32</v>
      </c>
      <c r="H288" s="9" t="n">
        <v>4.32</v>
      </c>
      <c r="I288" s="12" t="n">
        <v>2612.74</v>
      </c>
      <c r="J288" s="9" t="n">
        <v>0.09</v>
      </c>
      <c r="K288" t="n">
        <v>48</v>
      </c>
      <c r="L288" s="15">
        <f>IF(J288="","",H288/J288)</f>
        <v/>
      </c>
      <c r="M288" t="inlineStr"/>
    </row>
    <row r="289">
      <c r="A289" s="7" t="n">
        <v>46267</v>
      </c>
      <c r="B289" t="inlineStr">
        <is>
          <t>A00000000259302</t>
        </is>
      </c>
      <c r="C289" t="inlineStr">
        <is>
          <t>RBK007</t>
        </is>
      </c>
      <c r="D289" t="inlineStr">
        <is>
          <t>KARE KASE BOMBE KAPAK LD.D11 PK/48AD KL/12PK</t>
        </is>
      </c>
      <c r="E289" s="8" t="n">
        <v>1728</v>
      </c>
      <c r="F289" t="inlineStr">
        <is>
          <t>AD</t>
        </is>
      </c>
      <c r="G289" s="9" t="n">
        <v>4.41</v>
      </c>
      <c r="H289" s="9" t="n">
        <v>4.41</v>
      </c>
      <c r="I289" s="12" t="n">
        <v>8001.5</v>
      </c>
      <c r="J289" s="9" t="n">
        <v>0.09</v>
      </c>
      <c r="K289" t="n">
        <v>49</v>
      </c>
      <c r="L289" s="15">
        <f>IF(J289="","",H289/J289)</f>
        <v/>
      </c>
      <c r="M289" t="inlineStr"/>
    </row>
    <row r="290">
      <c r="A290" s="7" t="n">
        <v>46296</v>
      </c>
      <c r="B290" t="inlineStr">
        <is>
          <t>A00000000261821</t>
        </is>
      </c>
      <c r="C290" t="inlineStr">
        <is>
          <t>RBK007</t>
        </is>
      </c>
      <c r="D290" t="inlineStr">
        <is>
          <t>KARE KASE BOMBE KAPAK LD.D11 PK/48AD KL/12PK</t>
        </is>
      </c>
      <c r="E290" s="8" t="n">
        <v>576</v>
      </c>
      <c r="F290" t="inlineStr">
        <is>
          <t>AD</t>
        </is>
      </c>
      <c r="G290" s="9" t="n">
        <v>4.41</v>
      </c>
      <c r="H290" s="9" t="n">
        <v>4.41</v>
      </c>
      <c r="I290" s="12" t="n">
        <v>2667.17</v>
      </c>
      <c r="J290" s="9" t="n">
        <v>0.09</v>
      </c>
      <c r="K290" t="n">
        <v>49</v>
      </c>
      <c r="L290" s="15">
        <f>IF(J290="","",H290/J290)</f>
        <v/>
      </c>
      <c r="M290" t="inlineStr"/>
    </row>
    <row r="291">
      <c r="A291" s="7" t="n">
        <v>46302</v>
      </c>
      <c r="B291" t="inlineStr">
        <is>
          <t>A00000000262235</t>
        </is>
      </c>
      <c r="C291" t="inlineStr">
        <is>
          <t>RBK007</t>
        </is>
      </c>
      <c r="D291" t="inlineStr">
        <is>
          <t>KARE KASE BOMBE KAPAK LD.D11 PK/48AD KL/12PK</t>
        </is>
      </c>
      <c r="E291" s="8" t="n">
        <v>576</v>
      </c>
      <c r="F291" t="inlineStr">
        <is>
          <t>AD</t>
        </is>
      </c>
      <c r="G291" s="9" t="n">
        <v>4.41</v>
      </c>
      <c r="H291" s="9" t="n">
        <v>4.41</v>
      </c>
      <c r="I291" s="12" t="n">
        <v>2667.17</v>
      </c>
      <c r="J291" s="9" t="n">
        <v>0.09</v>
      </c>
      <c r="K291" t="n">
        <v>49</v>
      </c>
      <c r="L291" s="15">
        <f>IF(J291="","",H291/J291)</f>
        <v/>
      </c>
      <c r="M291" t="inlineStr"/>
    </row>
    <row r="292">
      <c r="A292" s="7" t="n">
        <v>46308</v>
      </c>
      <c r="B292" t="inlineStr">
        <is>
          <t>A00000000262812</t>
        </is>
      </c>
      <c r="C292" t="inlineStr">
        <is>
          <t>RBK007</t>
        </is>
      </c>
      <c r="D292" t="inlineStr">
        <is>
          <t>KARE KASE BOMBE KAPAK LD.D11 PK/48AD KL/12PK</t>
        </is>
      </c>
      <c r="E292" s="8" t="n">
        <v>576</v>
      </c>
      <c r="F292" t="inlineStr">
        <is>
          <t>AD</t>
        </is>
      </c>
      <c r="G292" s="9" t="n">
        <v>4.5</v>
      </c>
      <c r="H292" s="9" t="n">
        <v>4.5</v>
      </c>
      <c r="I292" s="12" t="n">
        <v>2721.6</v>
      </c>
      <c r="J292" s="9" t="n">
        <v>0.09</v>
      </c>
      <c r="K292" t="n">
        <v>50</v>
      </c>
      <c r="L292" s="15">
        <f>IF(J292="","",H292/J292)</f>
        <v/>
      </c>
      <c r="M292" t="inlineStr"/>
    </row>
    <row r="293">
      <c r="A293" s="7" t="n">
        <v>46204</v>
      </c>
      <c r="B293" t="inlineStr">
        <is>
          <t>A00000000254474</t>
        </is>
      </c>
      <c r="C293" t="inlineStr">
        <is>
          <t>SLM014</t>
        </is>
      </c>
      <c r="D293" t="inlineStr">
        <is>
          <t>32 OZ  KRAFT 1000CC +KAPAK PK/50 KL/300</t>
        </is>
      </c>
      <c r="E293" s="8" t="n">
        <v>50</v>
      </c>
      <c r="F293" t="inlineStr">
        <is>
          <t>AD</t>
        </is>
      </c>
      <c r="G293" s="9" t="n">
        <v>9.164999999999999</v>
      </c>
      <c r="H293" s="9" t="n">
        <v>9.164999999999999</v>
      </c>
      <c r="I293" s="12" t="n">
        <v>481.16</v>
      </c>
      <c r="J293" s="9" t="n">
        <v>0.195</v>
      </c>
      <c r="K293" t="n">
        <v>47</v>
      </c>
      <c r="L293" s="15">
        <f>IF(J293="","",H293/J293)</f>
        <v/>
      </c>
      <c r="M293" t="inlineStr"/>
    </row>
    <row r="294">
      <c r="A294" s="7" t="n">
        <v>46210</v>
      </c>
      <c r="B294" t="inlineStr">
        <is>
          <t>A00000000255017</t>
        </is>
      </c>
      <c r="C294" t="inlineStr">
        <is>
          <t>SLM014</t>
        </is>
      </c>
      <c r="D294" t="inlineStr">
        <is>
          <t>32 OZ  KRAFT 1000CC +KAPAK PK/50 KL/300</t>
        </is>
      </c>
      <c r="E294" s="8" t="n">
        <v>300</v>
      </c>
      <c r="F294" t="inlineStr">
        <is>
          <t>AD</t>
        </is>
      </c>
      <c r="G294" s="9" t="n">
        <v>9.164999999999999</v>
      </c>
      <c r="H294" s="9" t="n">
        <v>9.164999999999999</v>
      </c>
      <c r="I294" s="12" t="n">
        <v>2886.98</v>
      </c>
      <c r="J294" s="9" t="n">
        <v>0.195</v>
      </c>
      <c r="K294" t="n">
        <v>47</v>
      </c>
      <c r="L294" s="15">
        <f>IF(J294="","",H294/J294)</f>
        <v/>
      </c>
      <c r="M294" t="inlineStr"/>
    </row>
    <row r="295">
      <c r="A295" s="7" t="n">
        <v>46224</v>
      </c>
      <c r="B295" t="inlineStr">
        <is>
          <t>A00000000256028</t>
        </is>
      </c>
      <c r="C295" t="inlineStr">
        <is>
          <t>SLM014</t>
        </is>
      </c>
      <c r="D295" t="inlineStr">
        <is>
          <t>32 OZ  KRAFT 1000CC +KAPAK PK/50 KL/300</t>
        </is>
      </c>
      <c r="E295" s="8" t="n">
        <v>300</v>
      </c>
      <c r="F295" t="inlineStr">
        <is>
          <t>AD</t>
        </is>
      </c>
      <c r="G295" s="9" t="n">
        <v>9.359999999999999</v>
      </c>
      <c r="H295" s="9" t="n">
        <v>9.359999999999999</v>
      </c>
      <c r="I295" s="12" t="n">
        <v>2948.4</v>
      </c>
      <c r="J295" s="9" t="n">
        <v>0.195</v>
      </c>
      <c r="K295" t="n">
        <v>48</v>
      </c>
      <c r="L295" s="15">
        <f>IF(J295="","",H295/J295)</f>
        <v/>
      </c>
      <c r="M295" t="inlineStr"/>
    </row>
    <row r="296">
      <c r="A296" s="7" t="n">
        <v>46260</v>
      </c>
      <c r="B296" t="inlineStr">
        <is>
          <t>A00000000258910</t>
        </is>
      </c>
      <c r="C296" t="inlineStr">
        <is>
          <t>SN001</t>
        </is>
      </c>
      <c r="D296" t="inlineStr">
        <is>
          <t>120 ALUMINYUM SÜTLAÇ KAP PK/100AD KL/30PK</t>
        </is>
      </c>
      <c r="E296" s="8" t="n">
        <v>5</v>
      </c>
      <c r="F296" t="inlineStr">
        <is>
          <t>PK</t>
        </is>
      </c>
      <c r="G296" s="9" t="n">
        <v>258.24</v>
      </c>
      <c r="H296" s="9" t="n">
        <v>258.24</v>
      </c>
      <c r="I296" s="12" t="n">
        <v>1355.76</v>
      </c>
      <c r="J296" s="9" t="n">
        <v>5.38</v>
      </c>
      <c r="K296" t="n">
        <v>48</v>
      </c>
      <c r="L296" s="15">
        <f>IF(J296="","",H296/J296)</f>
        <v/>
      </c>
      <c r="M296" t="inlineStr"/>
    </row>
    <row r="297">
      <c r="A297" s="7" t="n">
        <v>46204</v>
      </c>
      <c r="B297" t="inlineStr">
        <is>
          <t>A00000000254474</t>
        </is>
      </c>
      <c r="C297" t="inlineStr">
        <is>
          <t>SYM001</t>
        </is>
      </c>
      <c r="D297" t="inlineStr">
        <is>
          <t>PE ELDİVEN ŞEFFAF L PK/100 AD DR PACK KL/100 PKT</t>
        </is>
      </c>
      <c r="E297" s="8" t="n">
        <v>100</v>
      </c>
      <c r="F297" t="inlineStr">
        <is>
          <t>PK</t>
        </is>
      </c>
      <c r="G297" s="9" t="n">
        <v>36.5552</v>
      </c>
      <c r="H297" s="9" t="n">
        <v>36.5552</v>
      </c>
      <c r="I297" s="12" t="n">
        <v>4240.4</v>
      </c>
      <c r="J297" s="9" t="n">
        <v>0.77777</v>
      </c>
      <c r="K297" t="n">
        <v>47</v>
      </c>
      <c r="L297" s="15">
        <f>IF(J297="","",H297/J297)</f>
        <v/>
      </c>
      <c r="M297" t="inlineStr"/>
    </row>
    <row r="298">
      <c r="A298" s="7" t="n">
        <v>46224</v>
      </c>
      <c r="B298" t="inlineStr">
        <is>
          <t>A00000000256028</t>
        </is>
      </c>
      <c r="C298" t="inlineStr">
        <is>
          <t>SYM001</t>
        </is>
      </c>
      <c r="D298" t="inlineStr">
        <is>
          <t>PE ELDİVEN ŞEFFAF L PK/100 AD DR PACK KL/100 PKT</t>
        </is>
      </c>
      <c r="E298" s="8" t="n">
        <v>100</v>
      </c>
      <c r="F298" t="inlineStr">
        <is>
          <t>PK</t>
        </is>
      </c>
      <c r="G298" s="9" t="n">
        <v>37.333</v>
      </c>
      <c r="H298" s="9" t="n">
        <v>37.333</v>
      </c>
      <c r="I298" s="12" t="n">
        <v>4330.63</v>
      </c>
      <c r="J298" s="9" t="n">
        <v>0.77777</v>
      </c>
      <c r="K298" t="n">
        <v>48</v>
      </c>
      <c r="L298" s="15">
        <f>IF(J298="","",H298/J298)</f>
        <v/>
      </c>
      <c r="M298" t="inlineStr"/>
    </row>
    <row r="299">
      <c r="A299" s="7" t="n">
        <v>46232</v>
      </c>
      <c r="B299" t="inlineStr">
        <is>
          <t>A00000000256678</t>
        </is>
      </c>
      <c r="C299" t="inlineStr">
        <is>
          <t>SYM001</t>
        </is>
      </c>
      <c r="D299" t="inlineStr">
        <is>
          <t>PE ELDİVEN ŞEFFAF L PK/100 AD DR PACK KL/100 PKT</t>
        </is>
      </c>
      <c r="E299" s="8" t="n">
        <v>100</v>
      </c>
      <c r="F299" t="inlineStr">
        <is>
          <t>PK</t>
        </is>
      </c>
      <c r="G299" s="9" t="n">
        <v>37.333</v>
      </c>
      <c r="H299" s="9" t="n">
        <v>37.333</v>
      </c>
      <c r="I299" s="12" t="n">
        <v>4330.63</v>
      </c>
      <c r="J299" s="9" t="n">
        <v>0.77777</v>
      </c>
      <c r="K299" t="n">
        <v>48</v>
      </c>
      <c r="L299" s="15">
        <f>IF(J299="","",H299/J299)</f>
        <v/>
      </c>
      <c r="M299" t="inlineStr"/>
    </row>
    <row r="300">
      <c r="A300" s="7" t="n">
        <v>46260</v>
      </c>
      <c r="B300" t="inlineStr">
        <is>
          <t>A00000000258910</t>
        </is>
      </c>
      <c r="C300" t="inlineStr">
        <is>
          <t>SYM001</t>
        </is>
      </c>
      <c r="D300" t="inlineStr">
        <is>
          <t>PE ELDİVEN ŞEFFAF L PK/100 AD DR PACK KL/100 PKT</t>
        </is>
      </c>
      <c r="E300" s="8" t="n">
        <v>100</v>
      </c>
      <c r="F300" t="inlineStr">
        <is>
          <t>PK</t>
        </is>
      </c>
      <c r="G300" s="9" t="n">
        <v>37.333</v>
      </c>
      <c r="H300" s="9" t="n">
        <v>37.333</v>
      </c>
      <c r="I300" s="12" t="n">
        <v>4330.63</v>
      </c>
      <c r="J300" s="9" t="n">
        <v>0.77777</v>
      </c>
      <c r="K300" t="n">
        <v>48</v>
      </c>
      <c r="L300" s="15">
        <f>IF(J300="","",H300/J300)</f>
        <v/>
      </c>
      <c r="M300" t="inlineStr"/>
    </row>
    <row r="301">
      <c r="A301" s="7" t="n">
        <v>46274</v>
      </c>
      <c r="B301" t="inlineStr">
        <is>
          <t>A00000000259852</t>
        </is>
      </c>
      <c r="C301" t="inlineStr">
        <is>
          <t>SYM001</t>
        </is>
      </c>
      <c r="D301" t="inlineStr">
        <is>
          <t>PE ELDİVEN ŞEFFAF L PK/100 AD DR PACK KL/100 PKT</t>
        </is>
      </c>
      <c r="E301" s="8" t="n">
        <v>100</v>
      </c>
      <c r="F301" t="inlineStr">
        <is>
          <t>PK</t>
        </is>
      </c>
      <c r="G301" s="9" t="n">
        <v>38.1107</v>
      </c>
      <c r="H301" s="9" t="n">
        <v>38.1107</v>
      </c>
      <c r="I301" s="12" t="n">
        <v>4420.84</v>
      </c>
      <c r="J301" s="9" t="n">
        <v>0.77777</v>
      </c>
      <c r="K301" t="n">
        <v>49</v>
      </c>
      <c r="L301" s="15">
        <f>IF(J301="","",H301/J301)</f>
        <v/>
      </c>
      <c r="M301" t="inlineStr"/>
    </row>
    <row r="302">
      <c r="A302" s="7" t="n">
        <v>46302</v>
      </c>
      <c r="B302" t="inlineStr">
        <is>
          <t>A00000000262235</t>
        </is>
      </c>
      <c r="C302" t="inlineStr">
        <is>
          <t>SYM001</t>
        </is>
      </c>
      <c r="D302" t="inlineStr">
        <is>
          <t>PE ELDİVEN ŞEFFAF L PK/100 AD DR PACK KL/100 PKT</t>
        </is>
      </c>
      <c r="E302" s="8" t="n">
        <v>100</v>
      </c>
      <c r="F302" t="inlineStr">
        <is>
          <t>PK</t>
        </is>
      </c>
      <c r="G302" s="9" t="n">
        <v>35</v>
      </c>
      <c r="H302" s="9" t="n">
        <v>35</v>
      </c>
      <c r="I302" s="12" t="n">
        <v>4060</v>
      </c>
      <c r="J302" s="9" t="n">
        <v>0.71429</v>
      </c>
      <c r="K302" t="n">
        <v>49</v>
      </c>
      <c r="L302" s="15">
        <f>IF(J302="","",H302/J302)</f>
        <v/>
      </c>
      <c r="M302" t="inlineStr"/>
    </row>
    <row r="303">
      <c r="A303" s="7" t="n">
        <v>46267</v>
      </c>
      <c r="B303" t="inlineStr">
        <is>
          <t>A00000000259302</t>
        </is>
      </c>
      <c r="C303" t="inlineStr">
        <is>
          <t>YLD003</t>
        </is>
      </c>
      <c r="D303" t="inlineStr">
        <is>
          <t>PAKET LASTİĞİ 7CM PK/500AD KL/60PK</t>
        </is>
      </c>
      <c r="E303" s="8" t="n">
        <v>1</v>
      </c>
      <c r="F303" t="inlineStr">
        <is>
          <t>PK</t>
        </is>
      </c>
      <c r="G303" s="9" t="n">
        <v>212.6085</v>
      </c>
      <c r="H303" s="9" t="n">
        <v>212.61</v>
      </c>
      <c r="I303" s="12" t="n">
        <v>246.63</v>
      </c>
      <c r="J303" s="9" t="n">
        <v>4.33895</v>
      </c>
      <c r="K303" t="n">
        <v>49</v>
      </c>
      <c r="L303" s="15">
        <f>IF(J303="","",H303/J303)</f>
        <v/>
      </c>
      <c r="M303" t="inlineStr"/>
    </row>
    <row r="304">
      <c r="A304" s="7" t="n">
        <v>46204</v>
      </c>
      <c r="B304" t="inlineStr">
        <is>
          <t>A00000000254474</t>
        </is>
      </c>
      <c r="C304" t="inlineStr">
        <is>
          <t>ZV002</t>
        </is>
      </c>
      <c r="D304" t="inlineStr">
        <is>
          <t>PİŞİRME KAĞIDI  40 X 60 (ZV) PK/5 KG</t>
        </is>
      </c>
      <c r="E304" s="8" t="n">
        <v>60</v>
      </c>
      <c r="F304" t="inlineStr">
        <is>
          <t>KG</t>
        </is>
      </c>
      <c r="G304" s="9" t="n">
        <v>434.7</v>
      </c>
      <c r="H304" s="9" t="n">
        <v>434.7</v>
      </c>
      <c r="I304" s="12" t="n">
        <v>27386.1</v>
      </c>
      <c r="J304" s="9" t="n">
        <v>8.050000000000001</v>
      </c>
      <c r="K304" t="n">
        <v>47</v>
      </c>
      <c r="L304" s="15">
        <f>IF(J304="","",H304/J304)</f>
        <v/>
      </c>
      <c r="M304" t="inlineStr"/>
    </row>
  </sheetData>
  <autoFilter ref="A1:M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2026-10-20T06:41:32Z</dcterms:created>
  <dcterms:modified xmlns:dcterms="http://purl.org/dc/terms/" xmlns:xsi="http://www.w3.org/2001/XMLSchema-instance" xsi:type="dcterms:W3CDTF">2026-10-20T06:41:32Z</dcterms:modified>
</cp:coreProperties>
</file>