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şılaştırma" sheetId="1" state="visible" r:id="rId1"/>
    <sheet name="Bardak Kap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 adet&quot;"/>
    <numFmt numFmtId="165" formatCode="0.000&quot; €&quot;"/>
    <numFmt numFmtId="166" formatCode="#,##0.00&quot; TL&quot;"/>
    <numFmt numFmtId="167" formatCode="#,##0&quot; € toplam&quot;"/>
    <numFmt numFmtId="168" formatCode="0.0000"/>
    <numFmt numFmtId="169" formatCode="0.0000&quot; USD / adet&quot;"/>
    <numFmt numFmtId="170" formatCode="#,##0.00&quot; USD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wrapText="1"/>
    </xf>
    <xf numFmtId="0" fontId="0" fillId="2" borderId="1" pivotButton="0" quotePrefix="0" xfId="0"/>
    <xf numFmtId="164" fontId="0" fillId="0" borderId="1" applyAlignment="1" pivotButton="0" quotePrefix="0" xfId="0">
      <alignment horizontal="center" wrapText="1"/>
    </xf>
    <xf numFmtId="165" fontId="1" fillId="0" borderId="1" applyAlignment="1" pivotButton="0" quotePrefix="0" xfId="0">
      <alignment horizontal="center" wrapText="1"/>
    </xf>
    <xf numFmtId="166" fontId="0" fillId="0" borderId="1" applyAlignment="1" pivotButton="0" quotePrefix="0" xfId="0">
      <alignment horizontal="center" wrapText="1"/>
    </xf>
    <xf numFmtId="167" fontId="0" fillId="0" borderId="1" applyAlignment="1" pivotButton="0" quotePrefix="0" xfId="0">
      <alignment horizontal="center" wrapText="1"/>
    </xf>
    <xf numFmtId="0" fontId="1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0" pivotButton="0" quotePrefix="0" xfId="0"/>
    <xf numFmtId="168" fontId="0" fillId="2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70" fontId="1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Kur €/TL</t>
        </is>
      </c>
      <c r="B1" s="2" t="n">
        <v>55.688</v>
      </c>
      <c r="C1" s="1" t="inlineStr">
        <is>
          <t>€/$</t>
        </is>
      </c>
      <c r="D1" s="2" t="n">
        <v>1.1393</v>
      </c>
    </row>
    <row r="3" ht="40" customHeight="1">
      <c r="A3" s="3" t="inlineStr">
        <is>
          <t>Ürün / Talep</t>
        </is>
      </c>
      <c r="B3" s="3" t="inlineStr">
        <is>
          <t>İLKE (Tekirdağ)</t>
        </is>
      </c>
      <c r="C3" s="3" t="inlineStr">
        <is>
          <t>PACKON (İstanbul)</t>
        </is>
      </c>
      <c r="D3" s="3" t="inlineStr">
        <is>
          <t>GÜRSA (İstanbul)</t>
        </is>
      </c>
      <c r="E3" s="3" t="inlineStr">
        <is>
          <t>ANKUTSAN (Antalya)</t>
        </is>
      </c>
      <c r="F3" s="3" t="inlineStr">
        <is>
          <t>PACKSEL LTD (Proforma 2026000110, 01.10.2026)</t>
        </is>
      </c>
    </row>
    <row r="4">
      <c r="A4" s="4" t="inlineStr">
        <is>
          <t>KÜÇÜK BOY – 31x31 cm
Tek renk logo baskılı %30 baskı alanı
6 palet</t>
        </is>
      </c>
      <c r="B4" s="5" t="inlineStr">
        <is>
          <t>E / IK110-FL120-IK110</t>
        </is>
      </c>
      <c r="C4" s="5" t="inlineStr">
        <is>
          <t>E / IK115-FL120-IK115</t>
        </is>
      </c>
      <c r="D4" s="5" t="inlineStr">
        <is>
          <t>E / IK110-FL120-IK110</t>
        </is>
      </c>
      <c r="E4" s="5" t="inlineStr">
        <is>
          <t>E / KM135 HPFL135 KM100</t>
        </is>
      </c>
      <c r="F4" s="5" t="inlineStr">
        <is>
          <t>E.80TL.110PFL.100IKL</t>
        </is>
      </c>
    </row>
    <row r="5">
      <c r="A5" s="13" t="n"/>
      <c r="B5" s="7" t="n">
        <v>22500</v>
      </c>
      <c r="C5" s="7" t="n">
        <v>11250</v>
      </c>
      <c r="D5" s="7" t="n">
        <v>27000</v>
      </c>
      <c r="E5" s="7" t="n">
        <v>19200</v>
      </c>
      <c r="F5" s="7" t="n">
        <v>27000</v>
      </c>
    </row>
    <row r="6">
      <c r="A6" s="13" t="n"/>
      <c r="B6" s="8" t="n">
        <v>0.106</v>
      </c>
      <c r="C6" s="8" t="n">
        <v>0.176</v>
      </c>
      <c r="D6" s="8" t="n">
        <v>0.081</v>
      </c>
      <c r="E6" s="8" t="n">
        <v>0.131</v>
      </c>
      <c r="F6" s="8">
        <f>F7/$B$1</f>
        <v/>
      </c>
    </row>
    <row r="7">
      <c r="A7" s="13" t="n"/>
      <c r="B7" s="9">
        <f>B6*$B$1</f>
        <v/>
      </c>
      <c r="C7" s="9">
        <f>C6*$B$1</f>
        <v/>
      </c>
      <c r="D7" s="9">
        <f>D6*$B$1</f>
        <v/>
      </c>
      <c r="E7" s="9">
        <f>E6*$B$1</f>
        <v/>
      </c>
      <c r="F7" s="9" t="n">
        <v>6</v>
      </c>
    </row>
    <row r="8">
      <c r="A8" s="14" t="n"/>
      <c r="B8" s="10">
        <f>B5*B6</f>
        <v/>
      </c>
      <c r="C8" s="10">
        <f>C5*C6</f>
        <v/>
      </c>
      <c r="D8" s="10">
        <f>D5*D6</f>
        <v/>
      </c>
      <c r="E8" s="10">
        <f>E5*E6</f>
        <v/>
      </c>
      <c r="F8" s="10">
        <f>F5*F6</f>
        <v/>
      </c>
    </row>
    <row r="10">
      <c r="A10" s="4" t="inlineStr">
        <is>
          <t>ORTA BOY – 42x42 cm
Tek renk logo baskılı %30 baskı alanı
5 palet</t>
        </is>
      </c>
      <c r="B10" s="5" t="inlineStr">
        <is>
          <t>E / IK110-FL135-IK110</t>
        </is>
      </c>
      <c r="C10" s="5" t="inlineStr">
        <is>
          <t>E / IK110-FL135-IK110</t>
        </is>
      </c>
      <c r="D10" s="5" t="inlineStr">
        <is>
          <t>E / IK110-FL135-IK110</t>
        </is>
      </c>
      <c r="E10" s="5" t="inlineStr">
        <is>
          <t>E / KM135 HPFL135 KM100</t>
        </is>
      </c>
      <c r="F10" s="5" t="inlineStr">
        <is>
          <t>B.IKL100 FL130 KL100 (42*42*4,2)</t>
        </is>
      </c>
    </row>
    <row r="11">
      <c r="A11" s="13" t="n"/>
      <c r="B11" s="7" t="n">
        <v>15000</v>
      </c>
      <c r="C11" s="7" t="n">
        <v>6250</v>
      </c>
      <c r="D11" s="7" t="n">
        <v>15000</v>
      </c>
      <c r="E11" s="7" t="n">
        <v>12800</v>
      </c>
      <c r="F11" s="7" t="n">
        <v>8500</v>
      </c>
    </row>
    <row r="12">
      <c r="A12" s="13" t="n"/>
      <c r="B12" s="8" t="n">
        <v>0.168</v>
      </c>
      <c r="C12" s="8" t="n">
        <v>0.303</v>
      </c>
      <c r="D12" s="8" t="n">
        <v>0.16</v>
      </c>
      <c r="E12" s="8" t="n">
        <v>0.199</v>
      </c>
      <c r="F12" s="8">
        <f>F13/$B$1</f>
        <v/>
      </c>
    </row>
    <row r="13">
      <c r="A13" s="13" t="n"/>
      <c r="B13" s="9">
        <f>B12*$B$1</f>
        <v/>
      </c>
      <c r="C13" s="9">
        <f>C12*$B$1</f>
        <v/>
      </c>
      <c r="D13" s="9">
        <f>D12*$B$1</f>
        <v/>
      </c>
      <c r="E13" s="9">
        <f>E12*$B$1</f>
        <v/>
      </c>
      <c r="F13" s="9" t="n">
        <v>13</v>
      </c>
    </row>
    <row r="14">
      <c r="A14" s="14" t="n"/>
      <c r="B14" s="10">
        <f>B11*B12</f>
        <v/>
      </c>
      <c r="C14" s="10">
        <f>C11*C12</f>
        <v/>
      </c>
      <c r="D14" s="10">
        <f>D11*D12</f>
        <v/>
      </c>
      <c r="E14" s="10">
        <f>E11*E12</f>
        <v/>
      </c>
      <c r="F14" s="10">
        <f>F11*F12</f>
        <v/>
      </c>
    </row>
    <row r="16">
      <c r="A16" s="4" t="inlineStr">
        <is>
          <t>BÜYÜK BOY – 46x46 cm
Tek renk logo baskılı %30 baskı alanı
5 palet</t>
        </is>
      </c>
      <c r="B16" s="5" t="inlineStr">
        <is>
          <t>E / IK110-FL135-IK110</t>
        </is>
      </c>
      <c r="C16" s="5" t="inlineStr">
        <is>
          <t>E / IK115-FL140-IK115</t>
        </is>
      </c>
      <c r="D16" s="5" t="inlineStr">
        <is>
          <t>E / IK110-FL135-IK110</t>
        </is>
      </c>
      <c r="E16" s="5" t="inlineStr">
        <is>
          <t>E / KM135 HPFL135 KM100 (47x47)</t>
        </is>
      </c>
      <c r="F16" s="5" t="inlineStr">
        <is>
          <t>B.IKL100 FL130 KL100 (45*45*5)</t>
        </is>
      </c>
    </row>
    <row r="17">
      <c r="A17" s="13" t="n"/>
      <c r="B17" s="7" t="n">
        <v>18000</v>
      </c>
      <c r="C17" s="7" t="n">
        <v>6250</v>
      </c>
      <c r="D17" s="7" t="n">
        <v>15000</v>
      </c>
      <c r="E17" s="7" t="n">
        <v>12800</v>
      </c>
      <c r="F17" s="7" t="n">
        <v>8500</v>
      </c>
    </row>
    <row r="18">
      <c r="A18" s="13" t="n"/>
      <c r="B18" s="8" t="n">
        <v>0.218</v>
      </c>
      <c r="C18" s="8" t="n">
        <v>0.334</v>
      </c>
      <c r="D18" s="8" t="n">
        <v>0.186</v>
      </c>
      <c r="E18" s="8" t="n">
        <v>0.235</v>
      </c>
      <c r="F18" s="8">
        <f>F19/$B$1</f>
        <v/>
      </c>
    </row>
    <row r="19">
      <c r="A19" s="13" t="n"/>
      <c r="B19" s="9">
        <f>B18*$B$1</f>
        <v/>
      </c>
      <c r="C19" s="9">
        <f>C18*$B$1</f>
        <v/>
      </c>
      <c r="D19" s="9">
        <f>D18*$B$1</f>
        <v/>
      </c>
      <c r="E19" s="9">
        <f>E18*$B$1</f>
        <v/>
      </c>
      <c r="F19" s="9" t="n">
        <v>16</v>
      </c>
    </row>
    <row r="20">
      <c r="A20" s="14" t="n"/>
      <c r="B20" s="10">
        <f>B17*B18</f>
        <v/>
      </c>
      <c r="C20" s="10">
        <f>C17*C18</f>
        <v/>
      </c>
      <c r="D20" s="10">
        <f>D17*D18</f>
        <v/>
      </c>
      <c r="E20" s="10">
        <f>E17*E18</f>
        <v/>
      </c>
      <c r="F20" s="10">
        <f>F17*F18</f>
        <v/>
      </c>
    </row>
    <row r="22" ht="60" customHeight="1">
      <c r="A22" s="11" t="inlineStr">
        <is>
          <t>Koşullar</t>
        </is>
      </c>
      <c r="B22" s="12" t="inlineStr">
        <is>
          <t>EXW Tekirdağ, peşin, bıçak izi var, klişe ücreti bekleniyor</t>
        </is>
      </c>
      <c r="C22" s="12" t="inlineStr">
        <is>
          <t>EXW İstanbul, %25 ön ödeme kalan tesliminde, klişe 12 €/renk, ebat</t>
        </is>
      </c>
      <c r="D22" s="12" t="inlineStr">
        <is>
          <t>EXW İstanbul, peşin, bıçak izi 1000 €, klişe 250 €/renk</t>
        </is>
      </c>
      <c r="E22" s="12" t="inlineStr">
        <is>
          <t>EXW Mersin, peşin, klişe 150 €/renk, ebat</t>
        </is>
      </c>
      <c r="F22" s="12">
        <f>"Klişe: "&amp;TEXT(30000,"#,##0")&amp;" TL (≈"&amp;TEXT(30000/$B$1,"#,##0")&amp;" €); fiyatlar TL, KDV hariç"</f>
        <v/>
      </c>
    </row>
    <row r="24">
      <c r="A24" s="1" t="inlineStr">
        <is>
          <t>Notlar:</t>
        </is>
      </c>
    </row>
    <row r="25">
      <c r="A25" t="inlineStr">
        <is>
          <t>• Packsel proforma TL cinsinden; € karşılığı B1'deki kurla hesaplanır (kur değişince otomatik güncellenir).</t>
        </is>
      </c>
    </row>
    <row r="26">
      <c r="A26" t="inlineStr">
        <is>
          <t>• Packsel teklifinde kalite farklı: orta ve büyük boy B flüt (B.IKL100 FL130 KL100), küçük boy E flüt; ebatlar 42x42x4,2 ve 45x45x5 (talep 46x46).</t>
        </is>
      </c>
    </row>
    <row r="27">
      <c r="A27" t="inlineStr">
        <is>
          <t>• Packsel adetleri: 27.000 / 8.500 / 8.500. Yeşil hücre = en düşük birim fiyat.</t>
        </is>
      </c>
    </row>
    <row r="28">
      <c r="A28" t="inlineStr">
        <is>
          <t>• Toplam € = adet × birim fiyat (klişe/bıçak hariç).</t>
        </is>
      </c>
    </row>
  </sheetData>
  <mergeCells count="3">
    <mergeCell ref="A10:A14"/>
    <mergeCell ref="A4:A8"/>
    <mergeCell ref="A16:A20"/>
  </mergeCells>
  <conditionalFormatting sqref="B6:F6">
    <cfRule type="expression" priority="1" dxfId="0">
      <formula>B6=MIN($B$6:$F$6)</formula>
    </cfRule>
  </conditionalFormatting>
  <conditionalFormatting sqref="B12:F12">
    <cfRule type="expression" priority="2" dxfId="0">
      <formula>B12=MIN($B$12:$F$12)</formula>
    </cfRule>
  </conditionalFormatting>
  <conditionalFormatting sqref="B18:F18">
    <cfRule type="expression" priority="3" dxfId="0">
      <formula>B18=MIN($B$18:$F$18)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5" t="inlineStr">
        <is>
          <t>24.06.2026 – Soğuk Bardak / Kapak Teklif Karşılaştırması</t>
        </is>
      </c>
    </row>
    <row r="2">
      <c r="A2" s="1" t="inlineStr">
        <is>
          <t>Kur USD/TL</t>
        </is>
      </c>
      <c r="B2" s="16" t="n">
        <v>46.65</v>
      </c>
      <c r="C2" t="inlineStr">
        <is>
          <t>(görseldeki TL tutarlarından türetildi)</t>
        </is>
      </c>
    </row>
    <row r="3">
      <c r="A3" s="1" t="inlineStr">
        <is>
          <t>Powerplast bardak: USD / 1000 adet</t>
        </is>
      </c>
      <c r="B3" s="2" t="n">
        <v>63</v>
      </c>
      <c r="C3" t="inlineStr">
        <is>
          <t>← değiştirilebilir giriş</t>
        </is>
      </c>
    </row>
    <row r="5" ht="34" customHeight="1">
      <c r="A5" s="3" t="inlineStr">
        <is>
          <t>Malzeme</t>
        </is>
      </c>
      <c r="B5" s="3" t="inlineStr">
        <is>
          <t>Miktar</t>
        </is>
      </c>
      <c r="C5" s="3" t="inlineStr">
        <is>
          <t>POWERPLAST
(eski: Packsel)</t>
        </is>
      </c>
      <c r="D5" s="3" t="inlineStr">
        <is>
          <t>S.N.A</t>
        </is>
      </c>
      <c r="E5" s="3" t="inlineStr">
        <is>
          <t>SACEM</t>
        </is>
      </c>
      <c r="F5" s="3" t="inlineStr">
        <is>
          <t>SHADKAR COMPANY</t>
        </is>
      </c>
    </row>
    <row r="6">
      <c r="A6" s="17" t="inlineStr">
        <is>
          <t>SOĞUK BARDAK</t>
        </is>
      </c>
      <c r="B6" s="18" t="n">
        <v>150000</v>
      </c>
      <c r="C6" s="19">
        <f>$B$3/1000</f>
        <v/>
      </c>
      <c r="D6" s="19" t="n">
        <v>0.0924</v>
      </c>
      <c r="E6" s="19" t="n">
        <v>0.093</v>
      </c>
      <c r="F6" s="19" t="n">
        <v>0.1065</v>
      </c>
    </row>
    <row r="7">
      <c r="A7" s="20" t="n"/>
      <c r="B7" s="20" t="n"/>
      <c r="C7" s="21">
        <f>$B6*C6</f>
        <v/>
      </c>
      <c r="D7" s="21">
        <f>$B6*D6</f>
        <v/>
      </c>
      <c r="E7" s="21">
        <f>$B6*E6</f>
        <v/>
      </c>
      <c r="F7" s="21">
        <f>$B6*F6</f>
        <v/>
      </c>
    </row>
    <row r="8">
      <c r="A8" s="20" t="n"/>
      <c r="B8" s="20" t="n"/>
      <c r="C8" s="22">
        <f>C7*$B$2</f>
        <v/>
      </c>
      <c r="D8" s="22">
        <f>D7*$B$2</f>
        <v/>
      </c>
      <c r="E8" s="22">
        <f>E7*$B$2</f>
        <v/>
      </c>
      <c r="F8" s="22">
        <f>F7*$B$2</f>
        <v/>
      </c>
    </row>
    <row r="9">
      <c r="A9" s="17" t="inlineStr">
        <is>
          <t>SOĞUK KAPAK</t>
        </is>
      </c>
      <c r="B9" s="18" t="n">
        <v>150000</v>
      </c>
      <c r="C9" s="19" t="n">
        <v>0.032</v>
      </c>
      <c r="D9" s="19" t="n">
        <v>0.021</v>
      </c>
      <c r="E9" s="19" t="n">
        <v>0.024</v>
      </c>
      <c r="F9" s="19" t="n">
        <v>0.0285</v>
      </c>
    </row>
    <row r="10">
      <c r="A10" s="20" t="n"/>
      <c r="B10" s="20" t="n"/>
      <c r="C10" s="21">
        <f>$B9*C9</f>
        <v/>
      </c>
      <c r="D10" s="21">
        <f>$B9*D9</f>
        <v/>
      </c>
      <c r="E10" s="21">
        <f>$B9*E9</f>
        <v/>
      </c>
      <c r="F10" s="21">
        <f>$B9*F9</f>
        <v/>
      </c>
    </row>
    <row r="11">
      <c r="A11" s="20" t="n"/>
      <c r="B11" s="20" t="n"/>
      <c r="C11" s="22">
        <f>C10*$B$2</f>
        <v/>
      </c>
      <c r="D11" s="22">
        <f>D10*$B$2</f>
        <v/>
      </c>
      <c r="E11" s="22">
        <f>E10*$B$2</f>
        <v/>
      </c>
      <c r="F11" s="22">
        <f>F10*$B$2</f>
        <v/>
      </c>
    </row>
    <row r="12">
      <c r="A12" s="23" t="inlineStr">
        <is>
          <t>TOPLAM</t>
        </is>
      </c>
      <c r="B12" s="24" t="n"/>
      <c r="C12" s="25">
        <f>C7+C10</f>
        <v/>
      </c>
      <c r="D12" s="25">
        <f>D7+D10</f>
        <v/>
      </c>
      <c r="E12" s="25">
        <f>E7+E10</f>
        <v/>
      </c>
      <c r="F12" s="25">
        <f>F7+F10</f>
        <v/>
      </c>
    </row>
    <row r="13">
      <c r="A13" s="24" t="n"/>
      <c r="B13" s="24" t="n"/>
      <c r="C13" s="26">
        <f>C12*$B$2</f>
        <v/>
      </c>
      <c r="D13" s="26">
        <f>D12*$B$2</f>
        <v/>
      </c>
      <c r="E13" s="26">
        <f>E12*$B$2</f>
        <v/>
      </c>
      <c r="F13" s="26">
        <f>F12*$B$2</f>
        <v/>
      </c>
    </row>
    <row r="14" ht="62" customHeight="1">
      <c r="A14" s="27" t="inlineStr">
        <is>
          <t>Ödeme</t>
        </is>
      </c>
      <c r="B14" s="28" t="n"/>
      <c r="C14" s="29" t="inlineStr">
        <is>
          <t>Powerplast: belirtilmedi (Packsel'de %30 peşin, kalan 30-60 gün vade idi)</t>
        </is>
      </c>
      <c r="D14" s="29" t="inlineStr">
        <is>
          <t>%30 peşin, kalan 30-60-90 gün vade</t>
        </is>
      </c>
      <c r="E14" s="29" t="inlineStr">
        <is>
          <t>%30 peşin, kalan ürün tesliminde</t>
        </is>
      </c>
      <c r="F14" s="29" t="inlineStr">
        <is>
          <t>%50 peşin, kalan 60 gün vade</t>
        </is>
      </c>
    </row>
    <row r="16">
      <c r="A16" t="inlineStr">
        <is>
          <t>Yeşil = en düşük, kırmızı = en yüksek. Powerplast bardak fiyatı B3'teki 63 USD/1000 adet varsayımıyla hesaplandı; kapak fiyatı Packsel teklifiyle aynı (0,032).</t>
        </is>
      </c>
    </row>
  </sheetData>
  <conditionalFormatting sqref="C6:F6">
    <cfRule type="expression" priority="1" dxfId="1">
      <formula>C6=MIN($C6:$F6)</formula>
    </cfRule>
    <cfRule type="expression" priority="2" dxfId="2">
      <formula>C6=MAX($C6:$F6)</formula>
    </cfRule>
  </conditionalFormatting>
  <conditionalFormatting sqref="C9:F9">
    <cfRule type="expression" priority="3" dxfId="1">
      <formula>C9=MIN($C9:$F9)</formula>
    </cfRule>
    <cfRule type="expression" priority="4" dxfId="2">
      <formula>C9=MAX($C9:$F9)</formula>
    </cfRule>
  </conditionalFormatting>
  <conditionalFormatting sqref="C12:F12">
    <cfRule type="expression" priority="5" dxfId="1">
      <formula>C12=MIN($C12:$F12)</formula>
    </cfRule>
    <cfRule type="expression" priority="6" dxfId="2">
      <formula>C12=MAX($C12:$F12)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2026-10-02T07:24:20Z</dcterms:created>
  <dcterms:modified xsi:type="dcterms:W3CDTF">2026-10-02T11:56:45Z</dcterms:modified>
</cp:coreProperties>
</file>